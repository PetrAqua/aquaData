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udson\Documents\aquaData\"/>
    </mc:Choice>
  </mc:AlternateContent>
  <xr:revisionPtr revIDLastSave="0" documentId="13_ncr:1_{4D60CB45-B52C-48EE-B621-0B2B2CB88760}" xr6:coauthVersionLast="47" xr6:coauthVersionMax="47" xr10:uidLastSave="{00000000-0000-0000-0000-000000000000}"/>
  <bookViews>
    <workbookView xWindow="28680" yWindow="735" windowWidth="19440" windowHeight="14880" xr2:uid="{00000000-000D-0000-FFFF-FFFF00000000}"/>
  </bookViews>
  <sheets>
    <sheet name="Groundwater Discharge Permi" sheetId="1" r:id="rId1"/>
    <sheet name="Sheet3" sheetId="4" r:id="rId2"/>
    <sheet name="Sheet1" sheetId="2" r:id="rId3"/>
    <sheet name="Sheet2" sheetId="3" r:id="rId4"/>
  </sheets>
  <definedNames>
    <definedName name="_xlnm._FilterDatabase" localSheetId="0" hidden="1">'Groundwater Discharge Permi'!$A$1:$E$192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2" i="2"/>
</calcChain>
</file>

<file path=xl/sharedStrings.xml><?xml version="1.0" encoding="utf-8"?>
<sst xmlns="http://schemas.openxmlformats.org/spreadsheetml/2006/main" count="1549" uniqueCount="979">
  <si>
    <t>X</t>
  </si>
  <si>
    <t>Y</t>
  </si>
  <si>
    <t>NPDES Number</t>
  </si>
  <si>
    <t>Permit Number</t>
  </si>
  <si>
    <t>Facility Name</t>
  </si>
  <si>
    <t>MD2670G06</t>
  </si>
  <si>
    <t>Company 8 LLC</t>
  </si>
  <si>
    <t>MD3804M13</t>
  </si>
  <si>
    <t>Broad Creek Scout Reservation / Camp Saffran</t>
  </si>
  <si>
    <t>MD0018Q18</t>
  </si>
  <si>
    <t>21VW0018</t>
  </si>
  <si>
    <t>City of Bowie, Parks and Grounds Facility</t>
  </si>
  <si>
    <t>MD0059K21</t>
  </si>
  <si>
    <t>21VW0059</t>
  </si>
  <si>
    <t>MNCPPC - Little Bennett Maintenance Yard</t>
  </si>
  <si>
    <t>MD0028C18</t>
  </si>
  <si>
    <t>21VW0028</t>
  </si>
  <si>
    <t>Peter's Body Shop Inc</t>
  </si>
  <si>
    <t>MD3046F05</t>
  </si>
  <si>
    <t>21VW3046</t>
  </si>
  <si>
    <t>Choptank Electric Cooperative, Inc.</t>
  </si>
  <si>
    <t>MD0030C18</t>
  </si>
  <si>
    <t>21VW0030</t>
  </si>
  <si>
    <t>Linhard's Auto Repair</t>
  </si>
  <si>
    <t>MD3453X03</t>
  </si>
  <si>
    <t>21VW3453</t>
  </si>
  <si>
    <t>Assateague Island-National Seashore WWTP</t>
  </si>
  <si>
    <t>MD0017B18</t>
  </si>
  <si>
    <t>21VW0017</t>
  </si>
  <si>
    <t>Student Transportation of America - Annapolis Bus Company</t>
  </si>
  <si>
    <t>MD3690M14</t>
  </si>
  <si>
    <t>25DP3690</t>
  </si>
  <si>
    <t>Youth's Benefit Elementary School</t>
  </si>
  <si>
    <t>MD3326W00</t>
  </si>
  <si>
    <t>25DP3326</t>
  </si>
  <si>
    <t>Salisbury Christian School</t>
  </si>
  <si>
    <t>MD3138X95</t>
  </si>
  <si>
    <t>25DP3138</t>
  </si>
  <si>
    <t>Mariner's Country Downs WWTP</t>
  </si>
  <si>
    <t>MD3506N05</t>
  </si>
  <si>
    <t>25DP3506</t>
  </si>
  <si>
    <t>Peddicord Property WWTP</t>
  </si>
  <si>
    <t>MD2801J07</t>
  </si>
  <si>
    <t>Hurlock WWTP</t>
  </si>
  <si>
    <t>MD3724X17</t>
  </si>
  <si>
    <t>23DP3724</t>
  </si>
  <si>
    <t>Fort Whaley Campground</t>
  </si>
  <si>
    <t>MD1448U05</t>
  </si>
  <si>
    <t>24DP1448</t>
  </si>
  <si>
    <t>Calhoon MEBA Engineering School</t>
  </si>
  <si>
    <t>MD3428C03</t>
  </si>
  <si>
    <t>25DP3428</t>
  </si>
  <si>
    <t>Oldfields School</t>
  </si>
  <si>
    <t>MD3274M10</t>
  </si>
  <si>
    <t>21DP3274</t>
  </si>
  <si>
    <t>Harford Community College</t>
  </si>
  <si>
    <t>MD3669R15</t>
  </si>
  <si>
    <t>21DP3669</t>
  </si>
  <si>
    <t>AIS Enclosure Systems LLC</t>
  </si>
  <si>
    <t>MD0036G19</t>
  </si>
  <si>
    <t>21VW0036</t>
  </si>
  <si>
    <t>Ron's Automotive Collision Center</t>
  </si>
  <si>
    <t>MD0015K18</t>
  </si>
  <si>
    <t>21VW0015</t>
  </si>
  <si>
    <t>Mike's Auto Body Collision and Restorations Inc</t>
  </si>
  <si>
    <t>MD0070734</t>
  </si>
  <si>
    <t>21VW3674</t>
  </si>
  <si>
    <t>Rills Bus Service</t>
  </si>
  <si>
    <t>MD3544N16</t>
  </si>
  <si>
    <t>25DP3544</t>
  </si>
  <si>
    <t>Riverwood Phase II Shared Facility</t>
  </si>
  <si>
    <t>MD0021C18</t>
  </si>
  <si>
    <t>21VW0021</t>
  </si>
  <si>
    <t>Whitcraft Services, Inc</t>
  </si>
  <si>
    <t>MD2993V03</t>
  </si>
  <si>
    <t>21VW2993</t>
  </si>
  <si>
    <t>C. William Hetzer, Inc</t>
  </si>
  <si>
    <t>MD3339I05</t>
  </si>
  <si>
    <t>21VW3339</t>
  </si>
  <si>
    <t>Certified Auto Body &amp; Service Center</t>
  </si>
  <si>
    <t>MD0001B16</t>
  </si>
  <si>
    <t>21VW0001</t>
  </si>
  <si>
    <t>Subway Auto Body</t>
  </si>
  <si>
    <t>MD0019G18</t>
  </si>
  <si>
    <t>21VW0019</t>
  </si>
  <si>
    <t>SEH Excavating, Inc</t>
  </si>
  <si>
    <t>MD0009X20</t>
  </si>
  <si>
    <t>21VW0009</t>
  </si>
  <si>
    <t>Atlantic Tractor, LLC</t>
  </si>
  <si>
    <t>MD0020F18</t>
  </si>
  <si>
    <t>21VW0020</t>
  </si>
  <si>
    <t>CW Transport LLC</t>
  </si>
  <si>
    <t>MD3694I10</t>
  </si>
  <si>
    <t>21VW3694</t>
  </si>
  <si>
    <t>Southern Maryland Electric Cooperative, Inc.</t>
  </si>
  <si>
    <t>MD0069680</t>
  </si>
  <si>
    <t>MARYLAND STATE HIGHWAY ADMINISTRATION - KEYSER'S RIDGE MAINTENANCE FACILITY</t>
  </si>
  <si>
    <t>MD3401X08</t>
  </si>
  <si>
    <t>Ocean Landing II</t>
  </si>
  <si>
    <t>MD3562B06</t>
  </si>
  <si>
    <t>20DP3562</t>
  </si>
  <si>
    <t>Smithsonian Environmental Research Center</t>
  </si>
  <si>
    <t>MD0390V02</t>
  </si>
  <si>
    <t>19DP0390</t>
  </si>
  <si>
    <t>Mack Trucks, Inc - Volvo</t>
  </si>
  <si>
    <t>MD3259H98</t>
  </si>
  <si>
    <t>18DP3259</t>
  </si>
  <si>
    <t>Maybelle Manor Moblie Home Park</t>
  </si>
  <si>
    <t>MD2833K06</t>
  </si>
  <si>
    <t>Clustered Spires Golf Course</t>
  </si>
  <si>
    <t>MD3448N03</t>
  </si>
  <si>
    <t>Western Regional Park</t>
  </si>
  <si>
    <t>MD3418E02</t>
  </si>
  <si>
    <t>Calvert Gateway WWTP and WTP</t>
  </si>
  <si>
    <t>MD2250W01</t>
  </si>
  <si>
    <t>Poplar Hill Pre-Release Unit</t>
  </si>
  <si>
    <t>MD3528H05</t>
  </si>
  <si>
    <t>Bohemia Bay Yacht Harbor</t>
  </si>
  <si>
    <t>MD3573I07</t>
  </si>
  <si>
    <t>Camp Winona</t>
  </si>
  <si>
    <t>MD1499Q84</t>
  </si>
  <si>
    <t>Patuxent River 4-H Center Foundation, Inc.</t>
  </si>
  <si>
    <t>MD3268G04</t>
  </si>
  <si>
    <t>Todd Village Mobile Home Park</t>
  </si>
  <si>
    <t>MD3225S03</t>
  </si>
  <si>
    <t>Charlotte Hall Square</t>
  </si>
  <si>
    <t>MD3746C11</t>
  </si>
  <si>
    <t>18DP3746</t>
  </si>
  <si>
    <t>Tradepoint Atlantic</t>
  </si>
  <si>
    <t>25DP3573</t>
  </si>
  <si>
    <t>20DP2801</t>
  </si>
  <si>
    <t>MD2722J07</t>
  </si>
  <si>
    <t>Deep Water Subdivision - Phase II</t>
  </si>
  <si>
    <t>25DP2250</t>
  </si>
  <si>
    <t>25DP3418</t>
  </si>
  <si>
    <t>25DP2722</t>
  </si>
  <si>
    <t>25DP3268</t>
  </si>
  <si>
    <t>26DP1499</t>
  </si>
  <si>
    <t>25DP1814</t>
  </si>
  <si>
    <t>25DP3528</t>
  </si>
  <si>
    <t>26DP2670</t>
  </si>
  <si>
    <t>26DP3804</t>
  </si>
  <si>
    <t>26DP3448</t>
  </si>
  <si>
    <t>25DP2833</t>
  </si>
  <si>
    <t>25DP3401</t>
  </si>
  <si>
    <t>MD0002K18</t>
  </si>
  <si>
    <t>18CT0002</t>
  </si>
  <si>
    <t>Crown Rose Estate</t>
  </si>
  <si>
    <t>MD0003K19</t>
  </si>
  <si>
    <t>18CT0003</t>
  </si>
  <si>
    <t>Ray Siguenza</t>
  </si>
  <si>
    <t>25DP3225</t>
  </si>
  <si>
    <t>MD0076P24</t>
  </si>
  <si>
    <t>21VW0076</t>
  </si>
  <si>
    <t>Kiki Truck-Car Wash, LLC</t>
  </si>
  <si>
    <t>MD0071P23</t>
  </si>
  <si>
    <t>21VW0071</t>
  </si>
  <si>
    <t>Hyattstown Vol. Fire Dept., Inc.</t>
  </si>
  <si>
    <t>MD0077B24</t>
  </si>
  <si>
    <t>21VW0077</t>
  </si>
  <si>
    <t>All American Ambulance</t>
  </si>
  <si>
    <t>MD0080B25</t>
  </si>
  <si>
    <t>21VW0080</t>
  </si>
  <si>
    <t>West River, Inc - Smith Brothers Inc/McLean Contracting Company</t>
  </si>
  <si>
    <t>MD0022D18</t>
  </si>
  <si>
    <t>21VW0022</t>
  </si>
  <si>
    <t>Cianbro Corporation - Morgan's Wharf</t>
  </si>
  <si>
    <t>MD0069C23</t>
  </si>
  <si>
    <t>21VW0069</t>
  </si>
  <si>
    <t>Community College of Baltimore County - Catonsville Campus</t>
  </si>
  <si>
    <t>MD0065B23</t>
  </si>
  <si>
    <t>21VW0065</t>
  </si>
  <si>
    <t>All About Pressure Washing</t>
  </si>
  <si>
    <t>MD0079C24</t>
  </si>
  <si>
    <t>21VW0079</t>
  </si>
  <si>
    <t>Bravo Auto Styling</t>
  </si>
  <si>
    <t>MD3414M02</t>
  </si>
  <si>
    <t>21DP3414A</t>
  </si>
  <si>
    <t>The Arena Club</t>
  </si>
  <si>
    <t>MD0078V24</t>
  </si>
  <si>
    <t>21VW0078</t>
  </si>
  <si>
    <t>Vinny's Truck Center/Beaver Creek Investments LLC</t>
  </si>
  <si>
    <t>MD3863N19</t>
  </si>
  <si>
    <t>19DP3863</t>
  </si>
  <si>
    <t>Cattail Creek Country Club</t>
  </si>
  <si>
    <t>MD0063E23</t>
  </si>
  <si>
    <t>21VW0063</t>
  </si>
  <si>
    <t>Chesapeake Ranch Estates, Inc.</t>
  </si>
  <si>
    <t>MD0075B24</t>
  </si>
  <si>
    <t>21VW0075</t>
  </si>
  <si>
    <t>Jubb's Bus Service</t>
  </si>
  <si>
    <t>MD3515Q05</t>
  </si>
  <si>
    <t>18CT3515</t>
  </si>
  <si>
    <t>Hard Bargain Farm</t>
  </si>
  <si>
    <t>MD3784Q13</t>
  </si>
  <si>
    <t>18CT3784</t>
  </si>
  <si>
    <t>Clagett Farm Chesapeake Bay Foundaton</t>
  </si>
  <si>
    <t>MD0064B23</t>
  </si>
  <si>
    <t>21VW0064</t>
  </si>
  <si>
    <t>A-1 AUTO BODY</t>
  </si>
  <si>
    <t>MD0062C22</t>
  </si>
  <si>
    <t>21VW0062</t>
  </si>
  <si>
    <t>Maryland State Police Headquarters System</t>
  </si>
  <si>
    <t>MD3876N22</t>
  </si>
  <si>
    <t>22DP3876</t>
  </si>
  <si>
    <t>Lyhus Property</t>
  </si>
  <si>
    <t>MD0081L25</t>
  </si>
  <si>
    <t>21VW0081</t>
  </si>
  <si>
    <t>Beitzel Corporation</t>
  </si>
  <si>
    <t>MD0074V24</t>
  </si>
  <si>
    <t>21VW0074</t>
  </si>
  <si>
    <t>Board of County Commissioners of Washington County, MD</t>
  </si>
  <si>
    <t>MD3340K00</t>
  </si>
  <si>
    <t>18CT3340</t>
  </si>
  <si>
    <t>Nutricycle Systems Demonstration Site</t>
  </si>
  <si>
    <t>MD3370B06</t>
  </si>
  <si>
    <t>19DP3370A</t>
  </si>
  <si>
    <t>Evangelical Presbyterian Church of Annapolis</t>
  </si>
  <si>
    <t>MD0082K25</t>
  </si>
  <si>
    <t>21VW0082</t>
  </si>
  <si>
    <t>Wright Manufacturing Inc</t>
  </si>
  <si>
    <t>MD3497K13</t>
  </si>
  <si>
    <t>18CT3497</t>
  </si>
  <si>
    <t>Daneri Residence Composting Toilet System</t>
  </si>
  <si>
    <t>MD3305C99</t>
  </si>
  <si>
    <t>Pearlstone Family Camp</t>
  </si>
  <si>
    <t>MD3858C19</t>
  </si>
  <si>
    <t>19DP3858</t>
  </si>
  <si>
    <t>Boys School of Saint Paul's Parish</t>
  </si>
  <si>
    <t>MD2273X04</t>
  </si>
  <si>
    <t>Mystic Harbour WWTP</t>
  </si>
  <si>
    <t>MD3886U22</t>
  </si>
  <si>
    <t>22DP3886</t>
  </si>
  <si>
    <t>Easton Utilities - N Washington St</t>
  </si>
  <si>
    <t>MD3861O18</t>
  </si>
  <si>
    <t>19DP3861</t>
  </si>
  <si>
    <t>Bay Shore Campground</t>
  </si>
  <si>
    <t>MD3550W06</t>
  </si>
  <si>
    <t>22DP3550</t>
  </si>
  <si>
    <t>Steeplechase Water Works</t>
  </si>
  <si>
    <t>MD3883P23</t>
  </si>
  <si>
    <t>23DP3883</t>
  </si>
  <si>
    <t>Laytonsville Elementary School</t>
  </si>
  <si>
    <t>MD0069744</t>
  </si>
  <si>
    <t>20DP3121</t>
  </si>
  <si>
    <t>Sysco Eastern Maryland, LLC</t>
  </si>
  <si>
    <t>MD3841C16</t>
  </si>
  <si>
    <t>18CT3841</t>
  </si>
  <si>
    <t>2704 SH, LLC</t>
  </si>
  <si>
    <t>MD2806D01</t>
  </si>
  <si>
    <t>20DP2806</t>
  </si>
  <si>
    <t>Constellation Power - Notch Cliff</t>
  </si>
  <si>
    <t>MD0034M19</t>
  </si>
  <si>
    <t>21VW0034</t>
  </si>
  <si>
    <t>DNR Susquehanna State Park</t>
  </si>
  <si>
    <t>C &amp; C Car Wash</t>
  </si>
  <si>
    <t>MD2419V00</t>
  </si>
  <si>
    <t>23DP2419</t>
  </si>
  <si>
    <t>Central MD International Trucks</t>
  </si>
  <si>
    <t>MD3507I05</t>
  </si>
  <si>
    <t>21VW3507</t>
  </si>
  <si>
    <t>La Plata Volunteer Fire Department</t>
  </si>
  <si>
    <t>MD3338K06</t>
  </si>
  <si>
    <t>21VW3338</t>
  </si>
  <si>
    <t>Green Valley Sub-Station</t>
  </si>
  <si>
    <t>MD0016D18</t>
  </si>
  <si>
    <t>21VW0016</t>
  </si>
  <si>
    <t>Ligon And Ligon</t>
  </si>
  <si>
    <t>MD2755B05</t>
  </si>
  <si>
    <t>23DP2755</t>
  </si>
  <si>
    <t>Browning Ferris Inc Solley Road Sanitary Landfill</t>
  </si>
  <si>
    <t>MD2972K04</t>
  </si>
  <si>
    <t>23DP2972</t>
  </si>
  <si>
    <t>A T &amp; T - Monrovia</t>
  </si>
  <si>
    <t>MD3126K08</t>
  </si>
  <si>
    <t>21DP3126</t>
  </si>
  <si>
    <t>Rocko Meats</t>
  </si>
  <si>
    <t>MD3248E09</t>
  </si>
  <si>
    <t>22DP3248</t>
  </si>
  <si>
    <t>WLR Automotive Group</t>
  </si>
  <si>
    <t>MD0071242</t>
  </si>
  <si>
    <t>21DP3052</t>
  </si>
  <si>
    <t>W.L. Gore &amp; Associates, Inc - Cherry Hill Plant</t>
  </si>
  <si>
    <t>MD0284J06</t>
  </si>
  <si>
    <t>22DP0284</t>
  </si>
  <si>
    <t>Black Gold Farms</t>
  </si>
  <si>
    <t>MD3492G04</t>
  </si>
  <si>
    <t>22DP3492</t>
  </si>
  <si>
    <t>ESAB Welding &amp; Cutting Products</t>
  </si>
  <si>
    <t>MD3824P15</t>
  </si>
  <si>
    <t>21DP3824</t>
  </si>
  <si>
    <t>Washington Gas - Rockville Station</t>
  </si>
  <si>
    <t>MD3498U05</t>
  </si>
  <si>
    <t>21VW3498</t>
  </si>
  <si>
    <t>Mullikin's Auto Body Inc</t>
  </si>
  <si>
    <t>MD3684G09</t>
  </si>
  <si>
    <t>21VW3684</t>
  </si>
  <si>
    <t>FINCH SERVICES</t>
  </si>
  <si>
    <t>MD3741S11</t>
  </si>
  <si>
    <t>21DP3741</t>
  </si>
  <si>
    <t>Kuzzens Packing</t>
  </si>
  <si>
    <t>MD0047K19</t>
  </si>
  <si>
    <t>21VW0047</t>
  </si>
  <si>
    <t>Digging &amp; Rigging, Inc</t>
  </si>
  <si>
    <t>MD3197V96</t>
  </si>
  <si>
    <t>21VW3197</t>
  </si>
  <si>
    <t>Hagerstown Honda &amp; Kia</t>
  </si>
  <si>
    <t>MD0039X19</t>
  </si>
  <si>
    <t>21VW0039</t>
  </si>
  <si>
    <t>Enterprise RAC</t>
  </si>
  <si>
    <t>MD3594S08</t>
  </si>
  <si>
    <t>UMES - Hawk Lane Water Supply Well</t>
  </si>
  <si>
    <t>MD1430X06</t>
  </si>
  <si>
    <t>Perdue Farms, Inc. - Hatchery No. 10</t>
  </si>
  <si>
    <t>25DP1430</t>
  </si>
  <si>
    <t>MD2615R07</t>
  </si>
  <si>
    <t>25DP2615</t>
  </si>
  <si>
    <t>MD3798H13</t>
  </si>
  <si>
    <t>20DP3798</t>
  </si>
  <si>
    <t>Cecilton Manufactured Housing Community Pump Station</t>
  </si>
  <si>
    <t>MD2896P09</t>
  </si>
  <si>
    <t>Poolesville Golf Course WWTP</t>
  </si>
  <si>
    <t>MD3732P11</t>
  </si>
  <si>
    <t>15DP3732</t>
  </si>
  <si>
    <t>Darnestown Elementary School</t>
  </si>
  <si>
    <t>MD3687B10</t>
  </si>
  <si>
    <t>20DP3687</t>
  </si>
  <si>
    <t>Southstar Limited Partnership</t>
  </si>
  <si>
    <t>MD2982X02</t>
  </si>
  <si>
    <t>22DP2982</t>
  </si>
  <si>
    <t>Riverview Mobile Home Park WTP</t>
  </si>
  <si>
    <t>MD3183C08</t>
  </si>
  <si>
    <t>19DP3183</t>
  </si>
  <si>
    <t>Camp Fretterd State Army and Command Center</t>
  </si>
  <si>
    <t>MD3295P05</t>
  </si>
  <si>
    <t>22DP3295</t>
  </si>
  <si>
    <t>Blue Mash Golf Course</t>
  </si>
  <si>
    <t>MD2359H09</t>
  </si>
  <si>
    <t>21DP2359</t>
  </si>
  <si>
    <t>West Nottingham Academy</t>
  </si>
  <si>
    <t>MD3426H07</t>
  </si>
  <si>
    <t>21DP3426</t>
  </si>
  <si>
    <t>Sandy Hill Camp &amp; Conference and Activity Center</t>
  </si>
  <si>
    <t>MD3405N02</t>
  </si>
  <si>
    <t>21DP3405</t>
  </si>
  <si>
    <t>Lisbon Shopping Plaza</t>
  </si>
  <si>
    <t>MD3691N10</t>
  </si>
  <si>
    <t>21DP3691</t>
  </si>
  <si>
    <t>Mount Airy Bible Church, Inc</t>
  </si>
  <si>
    <t>MD2587J06</t>
  </si>
  <si>
    <t>20DP2587</t>
  </si>
  <si>
    <t>Deep Water Subdivision - Phase I</t>
  </si>
  <si>
    <t>MD3276G06</t>
  </si>
  <si>
    <t>21DP3276</t>
  </si>
  <si>
    <t>Gerstell Academy</t>
  </si>
  <si>
    <t>MD0121X02</t>
  </si>
  <si>
    <t>21DP0121</t>
  </si>
  <si>
    <t>The Landings Sewage Treatment Facility</t>
  </si>
  <si>
    <t>MD2864X91</t>
  </si>
  <si>
    <t>Berlin WWTP - Spray Irrigation Site</t>
  </si>
  <si>
    <t>MD3471X04</t>
  </si>
  <si>
    <t>16DP3471</t>
  </si>
  <si>
    <t>Island Resort Campground</t>
  </si>
  <si>
    <t>MD3264Q98</t>
  </si>
  <si>
    <t>Cedarville Mobile Home Park</t>
  </si>
  <si>
    <t>MD1411T02</t>
  </si>
  <si>
    <t>21DP1411</t>
  </si>
  <si>
    <t>Charlotte Hall Center, Inc. WWTP</t>
  </si>
  <si>
    <t>MD0023175</t>
  </si>
  <si>
    <t>25DP0742</t>
  </si>
  <si>
    <t>Gale-Bailey Elementary School</t>
  </si>
  <si>
    <t>MD3275B08</t>
  </si>
  <si>
    <t>20DP3275</t>
  </si>
  <si>
    <t>Severn Inn</t>
  </si>
  <si>
    <t>MD3504N05</t>
  </si>
  <si>
    <t>23DP3504</t>
  </si>
  <si>
    <t>Walnut Grove Shared Facility</t>
  </si>
  <si>
    <t>MD3538N06</t>
  </si>
  <si>
    <t>25DP3538</t>
  </si>
  <si>
    <t>Walnut Creek Subdivision</t>
  </si>
  <si>
    <t>MD0863T08</t>
  </si>
  <si>
    <t>21DP0863</t>
  </si>
  <si>
    <t>Wicomico Shores WWTP</t>
  </si>
  <si>
    <t>MD3209V02</t>
  </si>
  <si>
    <t>20DP3209</t>
  </si>
  <si>
    <t>F.A.A. Remote Transmitter Site</t>
  </si>
  <si>
    <t>MD3849E18</t>
  </si>
  <si>
    <t>23DP3849</t>
  </si>
  <si>
    <t>Vera's Beach Club</t>
  </si>
  <si>
    <t>MD3851X18</t>
  </si>
  <si>
    <t>24DP3851</t>
  </si>
  <si>
    <t>Worcester County Maryland Newark WWTP</t>
  </si>
  <si>
    <t>MD3529K05</t>
  </si>
  <si>
    <t>19DP3529</t>
  </si>
  <si>
    <t>The Sacred Monastery of St. Nina</t>
  </si>
  <si>
    <t>MD3663M09</t>
  </si>
  <si>
    <t>23DP3663</t>
  </si>
  <si>
    <t>Fallston High School</t>
  </si>
  <si>
    <t>MD3400E08</t>
  </si>
  <si>
    <t>24DP3400</t>
  </si>
  <si>
    <t>Shoppes At Apple Green WWTP</t>
  </si>
  <si>
    <t>MD2705E05</t>
  </si>
  <si>
    <t>16DP2705</t>
  </si>
  <si>
    <t>Prince Frederick WWTP #1</t>
  </si>
  <si>
    <t>MD3309E05</t>
  </si>
  <si>
    <t>22DP3309</t>
  </si>
  <si>
    <t>Prince Frederick WWTP No. 2</t>
  </si>
  <si>
    <t>MD3781E12</t>
  </si>
  <si>
    <t>21DP3781</t>
  </si>
  <si>
    <t>Regency Manor Mobile Home Park</t>
  </si>
  <si>
    <t>MD3666M09</t>
  </si>
  <si>
    <t>23DP3666</t>
  </si>
  <si>
    <t>Campus Hills Elementary School</t>
  </si>
  <si>
    <t>MD3406U02</t>
  </si>
  <si>
    <t>21DP3406</t>
  </si>
  <si>
    <t>Preserve at Wye Mills WWTP</t>
  </si>
  <si>
    <t>MD3521N05</t>
  </si>
  <si>
    <t>22DP3521</t>
  </si>
  <si>
    <t>New Bushy Park Elementary &amp; Glenwood Middle Schools WWTP</t>
  </si>
  <si>
    <t>MD3412N02</t>
  </si>
  <si>
    <t>24DP3412</t>
  </si>
  <si>
    <t>Glenelg High School</t>
  </si>
  <si>
    <t>MD3232E10</t>
  </si>
  <si>
    <t>25DP3232</t>
  </si>
  <si>
    <t>Marley Run WWTP</t>
  </si>
  <si>
    <t>MD2178E89</t>
  </si>
  <si>
    <t>23DP2178</t>
  </si>
  <si>
    <t>Solomons Island WWTP</t>
  </si>
  <si>
    <t>MD1971T11</t>
  </si>
  <si>
    <t>24DP1971</t>
  </si>
  <si>
    <t>Charlotte Hall Veterans Home</t>
  </si>
  <si>
    <t>MD3429M03</t>
  </si>
  <si>
    <t>20DP3429</t>
  </si>
  <si>
    <t>Mountain Christian Church</t>
  </si>
  <si>
    <t>MD3479N04</t>
  </si>
  <si>
    <t>22DP3479</t>
  </si>
  <si>
    <t>Dayton Oaks Elementary School</t>
  </si>
  <si>
    <t>MD1014M03</t>
  </si>
  <si>
    <t>24DP1014</t>
  </si>
  <si>
    <t>Habonim Dror Camp Moshava</t>
  </si>
  <si>
    <t>MD3409N02</t>
  </si>
  <si>
    <t>24DP3409</t>
  </si>
  <si>
    <t>Glenelg Country School</t>
  </si>
  <si>
    <t>MD3155X06</t>
  </si>
  <si>
    <t>20DP3155</t>
  </si>
  <si>
    <t>Lighthouse Sound WWTP</t>
  </si>
  <si>
    <t>MD3280T09</t>
  </si>
  <si>
    <t>22DP3280</t>
  </si>
  <si>
    <t>Forrest Farm WWTP</t>
  </si>
  <si>
    <t>MD3451M03</t>
  </si>
  <si>
    <t>24DP3451</t>
  </si>
  <si>
    <t>Naughty Dogs Restaurant</t>
  </si>
  <si>
    <t>MD3763U12</t>
  </si>
  <si>
    <t>24DP3763</t>
  </si>
  <si>
    <t>Talbot County Bio-Solids Utilization Facility</t>
  </si>
  <si>
    <t>MD1587T07</t>
  </si>
  <si>
    <t>24DP1587</t>
  </si>
  <si>
    <t>St. Clement's Shores WWTP</t>
  </si>
  <si>
    <t>MD3435N03</t>
  </si>
  <si>
    <t>23DP3435</t>
  </si>
  <si>
    <t>Ellicott Meadows Community WWTP</t>
  </si>
  <si>
    <t>MD2608X06</t>
  </si>
  <si>
    <t>24DP2608</t>
  </si>
  <si>
    <t>Assateague Pointe Lagoon-WWTL</t>
  </si>
  <si>
    <t>MD2746J97</t>
  </si>
  <si>
    <t>20DP2746</t>
  </si>
  <si>
    <t>Tudor Farms, Inc.</t>
  </si>
  <si>
    <t>MD3597G08</t>
  </si>
  <si>
    <t>22DP3597</t>
  </si>
  <si>
    <t>Lakeview Mobile Home Park</t>
  </si>
  <si>
    <t>MD1264F02</t>
  </si>
  <si>
    <t>23DP1264</t>
  </si>
  <si>
    <t>Caroline Acres Mobile Home Community</t>
  </si>
  <si>
    <t>MD3285M05</t>
  </si>
  <si>
    <t>23DP3285</t>
  </si>
  <si>
    <t>Harford Technical High School</t>
  </si>
  <si>
    <t>MD3375B07</t>
  </si>
  <si>
    <t>21DP3375</t>
  </si>
  <si>
    <t>Renditions Golf Course</t>
  </si>
  <si>
    <t>MD3598N14</t>
  </si>
  <si>
    <t>22DP3598</t>
  </si>
  <si>
    <t>Villas at West Friendship</t>
  </si>
  <si>
    <t>MD1490W93</t>
  </si>
  <si>
    <t>25DP1490</t>
  </si>
  <si>
    <t>Fruitland WTP</t>
  </si>
  <si>
    <t>MD2820J09</t>
  </si>
  <si>
    <t>22DP2820</t>
  </si>
  <si>
    <t>Ferry Farms Estates - Phase I</t>
  </si>
  <si>
    <t>MD2821J09</t>
  </si>
  <si>
    <t>22DP2821</t>
  </si>
  <si>
    <t>Ferry Farms Estates - Phase II</t>
  </si>
  <si>
    <t>MD3336K05</t>
  </si>
  <si>
    <t>18DP3336</t>
  </si>
  <si>
    <t>Frederick Christian Fellowship Church</t>
  </si>
  <si>
    <t>MD3480K04</t>
  </si>
  <si>
    <t>22DP3480</t>
  </si>
  <si>
    <t>Hollow Creek Golf Club</t>
  </si>
  <si>
    <t>MD3220X03</t>
  </si>
  <si>
    <t>20DP3220</t>
  </si>
  <si>
    <t>Deer Run Golf Club</t>
  </si>
  <si>
    <t>MD3519W05</t>
  </si>
  <si>
    <t>20DP3519</t>
  </si>
  <si>
    <t>Terra Firmma Llc/the Village Down River/</t>
  </si>
  <si>
    <t>MD2710X01</t>
  </si>
  <si>
    <t>20DP2710</t>
  </si>
  <si>
    <t>Riddle Farm WWTP</t>
  </si>
  <si>
    <t>MD3102N06</t>
  </si>
  <si>
    <t>19DP3102</t>
  </si>
  <si>
    <t>Ashleigh Knolls Subdivision</t>
  </si>
  <si>
    <t>MD2394X99</t>
  </si>
  <si>
    <t>20DP2394</t>
  </si>
  <si>
    <t>River Run WWTP</t>
  </si>
  <si>
    <t>MD2580J08</t>
  </si>
  <si>
    <t>17DP2580</t>
  </si>
  <si>
    <t>Bromwell's Adventure - Section I</t>
  </si>
  <si>
    <t>MD3260N98</t>
  </si>
  <si>
    <t>20DP3260</t>
  </si>
  <si>
    <t>The Villas At Cattail WWTP &amp; WTP</t>
  </si>
  <si>
    <t>MD3811J14</t>
  </si>
  <si>
    <t>23DP3811</t>
  </si>
  <si>
    <t>Beaver Run Mobile Home Park</t>
  </si>
  <si>
    <t>MD3171J06</t>
  </si>
  <si>
    <t>18DP3171</t>
  </si>
  <si>
    <t>Camelot Resedential Subdivision</t>
  </si>
  <si>
    <t>MD3417N02</t>
  </si>
  <si>
    <t>20DP3417</t>
  </si>
  <si>
    <t>Marriotts Ridge High School</t>
  </si>
  <si>
    <t>MD3770M12</t>
  </si>
  <si>
    <t>Towson University - Academic Center @ Harford Community College</t>
  </si>
  <si>
    <t>MD3223N07</t>
  </si>
  <si>
    <t>Triadelphia Ridge Elementary School</t>
  </si>
  <si>
    <t>MD3457K04</t>
  </si>
  <si>
    <t>18DP3457</t>
  </si>
  <si>
    <t>Mountainside Day Camp</t>
  </si>
  <si>
    <t>MD3390B02</t>
  </si>
  <si>
    <t>Atria Manresa Nursing Home</t>
  </si>
  <si>
    <t>MD3323R05</t>
  </si>
  <si>
    <t>20DP3323</t>
  </si>
  <si>
    <t>Centreville Wastewater Irrigation Facility</t>
  </si>
  <si>
    <t>MD3513G11</t>
  </si>
  <si>
    <t>20DP3513</t>
  </si>
  <si>
    <t>River Valley Ranch</t>
  </si>
  <si>
    <t>MD3531X06</t>
  </si>
  <si>
    <t>17DP3531</t>
  </si>
  <si>
    <t>Lake Haven Mobile Home Park WWTP</t>
  </si>
  <si>
    <t>MD3786R13</t>
  </si>
  <si>
    <t>20DP3786</t>
  </si>
  <si>
    <t>Aspen Institute</t>
  </si>
  <si>
    <t>MD3460U04</t>
  </si>
  <si>
    <t>19DP3460</t>
  </si>
  <si>
    <t>Trappe East WWTP</t>
  </si>
  <si>
    <t>MD3113C05</t>
  </si>
  <si>
    <t>19DP3113</t>
  </si>
  <si>
    <t>Sparrows Point Country Club</t>
  </si>
  <si>
    <t>MD1997B06</t>
  </si>
  <si>
    <t>Crownsville State Hospital Center WWTP</t>
  </si>
  <si>
    <t>24DP3264</t>
  </si>
  <si>
    <t>MD3243M03</t>
  </si>
  <si>
    <t>19DP3243</t>
  </si>
  <si>
    <t>Campus Hills Shopping Center</t>
  </si>
  <si>
    <t>MD3423M03</t>
  </si>
  <si>
    <t>25DP3423</t>
  </si>
  <si>
    <t>Wawa Food Market 582</t>
  </si>
  <si>
    <t>25DP3594</t>
  </si>
  <si>
    <t>21DP2273</t>
  </si>
  <si>
    <t>MD2211I00</t>
  </si>
  <si>
    <t>23DP2211</t>
  </si>
  <si>
    <t>Cobb Island WWTP</t>
  </si>
  <si>
    <t>25DP3770</t>
  </si>
  <si>
    <t>25DP3390</t>
  </si>
  <si>
    <t>25DP3305</t>
  </si>
  <si>
    <t>21DP2864</t>
  </si>
  <si>
    <t>MD3747I11</t>
  </si>
  <si>
    <t>24DP3747</t>
  </si>
  <si>
    <t>Lions Camp Merrick</t>
  </si>
  <si>
    <t>25DP2896</t>
  </si>
  <si>
    <t>25DP3223</t>
  </si>
  <si>
    <t>24DP1997</t>
  </si>
  <si>
    <t>Benedictine School</t>
  </si>
  <si>
    <t>26DP3893</t>
  </si>
  <si>
    <t>MD3893F24</t>
  </si>
  <si>
    <t>MD3683X15</t>
  </si>
  <si>
    <t>MD3436C03</t>
  </si>
  <si>
    <t>MD3785C13</t>
  </si>
  <si>
    <t>MD3836I16</t>
  </si>
  <si>
    <t>MD2885R08</t>
  </si>
  <si>
    <t>MD3881Q23</t>
  </si>
  <si>
    <t>MD3829M16</t>
  </si>
  <si>
    <t>MD3848C18</t>
  </si>
  <si>
    <t>MD3869B20</t>
  </si>
  <si>
    <t>MD3817I14</t>
  </si>
  <si>
    <t>MD3592X08</t>
  </si>
  <si>
    <t>MD3797W13</t>
  </si>
  <si>
    <t>MD3740R11</t>
  </si>
  <si>
    <t>MD3551J06</t>
  </si>
  <si>
    <t>MD3835H16</t>
  </si>
  <si>
    <t>MD3879J22</t>
  </si>
  <si>
    <t>MD3382G01</t>
  </si>
  <si>
    <t>MD0863T92</t>
  </si>
  <si>
    <t>MD3872Q21</t>
  </si>
  <si>
    <t>MD3871I21</t>
  </si>
  <si>
    <t>npdes.id</t>
  </si>
  <si>
    <t>name</t>
  </si>
  <si>
    <t>missing</t>
  </si>
  <si>
    <t>Deer Run Campground - Logtown Road LLC</t>
  </si>
  <si>
    <t>Eagle's Nest Country Club</t>
  </si>
  <si>
    <t>Hereford High School</t>
  </si>
  <si>
    <t>Keller Bus Transportation</t>
  </si>
  <si>
    <t>Kent Narrows Water Fowl Ponds</t>
  </si>
  <si>
    <t>Lake Presidential Golf Club</t>
  </si>
  <si>
    <t>Lohrs Orchard</t>
  </si>
  <si>
    <t>Manor Shopping Center</t>
  </si>
  <si>
    <t>McNamara Property</t>
  </si>
  <si>
    <t>Melwood Recreation Center</t>
  </si>
  <si>
    <t>Nassawango Country Club</t>
  </si>
  <si>
    <t>Pine Tree Mobile Estates</t>
  </si>
  <si>
    <t>Queenstown Harbor Golf Course</t>
  </si>
  <si>
    <t>Ragged Point Road LLC, Rd X-ing &amp; Culvert</t>
  </si>
  <si>
    <t>Recovery Centers of America</t>
  </si>
  <si>
    <t>Reliance MHP</t>
  </si>
  <si>
    <t>South Carroll Swim Club</t>
  </si>
  <si>
    <t>William B. Schmidt Outdoor Environmental Center</t>
  </si>
  <si>
    <t>Wintergreen Corner</t>
  </si>
  <si>
    <t>20DP3683</t>
  </si>
  <si>
    <t>22DP3436</t>
  </si>
  <si>
    <t>26DP3785</t>
  </si>
  <si>
    <t>16DP3836</t>
  </si>
  <si>
    <t>21DP2885</t>
  </si>
  <si>
    <t>23DP3881</t>
  </si>
  <si>
    <t>16DP3829</t>
  </si>
  <si>
    <t>18DP3848</t>
  </si>
  <si>
    <t>21DP3869</t>
  </si>
  <si>
    <t>14DP3817</t>
  </si>
  <si>
    <t>08DP3592</t>
  </si>
  <si>
    <t>13DP3797</t>
  </si>
  <si>
    <t>11DP3740</t>
  </si>
  <si>
    <t>06DP3551</t>
  </si>
  <si>
    <t>26DP3835</t>
  </si>
  <si>
    <t>22DP3879</t>
  </si>
  <si>
    <t>23DP3382</t>
  </si>
  <si>
    <t>21DP3872</t>
  </si>
  <si>
    <t>21DP3871</t>
  </si>
  <si>
    <t>7299 Fawn Crossing Dr</t>
  </si>
  <si>
    <t>Clarksville</t>
  </si>
  <si>
    <t>2010 Carmichael Rd</t>
  </si>
  <si>
    <t>Queenstown</t>
  </si>
  <si>
    <t>Assateague Pointe WWTP</t>
  </si>
  <si>
    <t>11501 Assateague Way</t>
  </si>
  <si>
    <t>Berlin</t>
  </si>
  <si>
    <t>AT&amp;T - Monrovia</t>
  </si>
  <si>
    <t>11028 Fingerboard Road</t>
  </si>
  <si>
    <t>Monrovia</t>
  </si>
  <si>
    <t>Bar-T Mountainside Camp (formerly Mountainside Day Camp)</t>
  </si>
  <si>
    <t>2914 Roderick Rd</t>
  </si>
  <si>
    <t>Frederick</t>
  </si>
  <si>
    <t>3658 Karen Circle</t>
  </si>
  <si>
    <t>Linkwood</t>
  </si>
  <si>
    <t>Berlin WWTP</t>
  </si>
  <si>
    <t>9607 Lee Rd</t>
  </si>
  <si>
    <t>BGE - Notch Cliff Propane Plant</t>
  </si>
  <si>
    <t>10650 Harford Road</t>
  </si>
  <si>
    <t>Glen Arm</t>
  </si>
  <si>
    <t>5616 Rhodesdale-Vienna Rd</t>
  </si>
  <si>
    <t>Rhodesdale</t>
  </si>
  <si>
    <t>5821 Olney-Laytonsville Road</t>
  </si>
  <si>
    <t>Laytonsville</t>
  </si>
  <si>
    <t>Bohemia Bay Yacht Harbour Condominium</t>
  </si>
  <si>
    <t>1026 Town Point Rd</t>
  </si>
  <si>
    <t>Chesapeake City</t>
  </si>
  <si>
    <t>11152 Falls Rd</t>
  </si>
  <si>
    <t>Brooklandville</t>
  </si>
  <si>
    <t>Broad Creek Memorial Scout Reservation</t>
  </si>
  <si>
    <t>1929 Susquehanna Hall Rd</t>
  </si>
  <si>
    <t>Whiteford</t>
  </si>
  <si>
    <t>Old Madison Rd &amp; Rte 16</t>
  </si>
  <si>
    <t>Madison</t>
  </si>
  <si>
    <t>7890 Solley Rd</t>
  </si>
  <si>
    <t>Glen Burnie</t>
  </si>
  <si>
    <t>6319 Church Hill Road</t>
  </si>
  <si>
    <t>Chestertown</t>
  </si>
  <si>
    <t>27050 Saint Michaels Rd</t>
  </si>
  <si>
    <t>Easton</t>
  </si>
  <si>
    <t>10760 Town Center Blvd</t>
  </si>
  <si>
    <t>Dunkirk</t>
  </si>
  <si>
    <t>Camelot Residential Subdivision</t>
  </si>
  <si>
    <t>1300 Block Town Point Rd</t>
  </si>
  <si>
    <t>Cambridge</t>
  </si>
  <si>
    <t>13700 Hanover Pike</t>
  </si>
  <si>
    <t>Reisterstown</t>
  </si>
  <si>
    <t>6885 Winona Place</t>
  </si>
  <si>
    <t>Hughesville</t>
  </si>
  <si>
    <t>Shucks Rd</t>
  </si>
  <si>
    <t>Bel Air</t>
  </si>
  <si>
    <t>2300-2400 Churchville Rd</t>
  </si>
  <si>
    <t>Churchville</t>
  </si>
  <si>
    <t>16866 Henderson Road</t>
  </si>
  <si>
    <t>Henderson</t>
  </si>
  <si>
    <t>3600 Cattail Creek Dr</t>
  </si>
  <si>
    <t>Glenwood</t>
  </si>
  <si>
    <t>1 Cecilton Manor Dr</t>
  </si>
  <si>
    <t>Warwick</t>
  </si>
  <si>
    <t>10505 Cedarville Road</t>
  </si>
  <si>
    <t>Brandywine</t>
  </si>
  <si>
    <t>Celebration Villa of Manresa</t>
  </si>
  <si>
    <t>85 Manresa Rd</t>
  </si>
  <si>
    <t>Annapolis</t>
  </si>
  <si>
    <t>Central Maryland International Trucks, LLC</t>
  </si>
  <si>
    <t>12835 Salem Avenue</t>
  </si>
  <si>
    <t>Hagerstown</t>
  </si>
  <si>
    <t>751 Hope Rd</t>
  </si>
  <si>
    <t>Centreville</t>
  </si>
  <si>
    <t>29940 Three Notch Rd</t>
  </si>
  <si>
    <t>Charlotte Hall</t>
  </si>
  <si>
    <t>Charlotte Hall Square Wastewater Treatment Facility</t>
  </si>
  <si>
    <t>37765 Wolf Road</t>
  </si>
  <si>
    <t>29449 Charlotte Hall Road</t>
  </si>
  <si>
    <t>8415 Gas House Pike</t>
  </si>
  <si>
    <t>12100 Swan Point Road</t>
  </si>
  <si>
    <t>Cobb Island</t>
  </si>
  <si>
    <t>255 Adam Smith St</t>
  </si>
  <si>
    <t>Sykesville</t>
  </si>
  <si>
    <t>20DP2670</t>
  </si>
  <si>
    <t>1520 Crownsville Road</t>
  </si>
  <si>
    <t>Crownsville</t>
  </si>
  <si>
    <t>15030 Turkey Foot Rd</t>
  </si>
  <si>
    <t>Darnestown</t>
  </si>
  <si>
    <t>4691 Ten Oaks Road</t>
  </si>
  <si>
    <t>Dayton</t>
  </si>
  <si>
    <t>Deep Water Rd, N Of Mallard Cove</t>
  </si>
  <si>
    <t>Woolford</t>
  </si>
  <si>
    <t>26DP2587</t>
  </si>
  <si>
    <t>Deep Water Rd, S Of Mallard Cove</t>
  </si>
  <si>
    <t>20DP2722</t>
  </si>
  <si>
    <t>8804 Logtown rd</t>
  </si>
  <si>
    <t>12801 Stone Hill Road</t>
  </si>
  <si>
    <t>Phoenix</t>
  </si>
  <si>
    <t>Easton WWTP</t>
  </si>
  <si>
    <t>30770 North Dover Road</t>
  </si>
  <si>
    <t>11804 Willow Branch Road</t>
  </si>
  <si>
    <t>Ellicott City</t>
  </si>
  <si>
    <t>5099 Allendale Lane</t>
  </si>
  <si>
    <t>Taneytown</t>
  </si>
  <si>
    <t>Evangelical Presbyterian Church of Annapolis WWTP</t>
  </si>
  <si>
    <t>710 Ridgely Ave</t>
  </si>
  <si>
    <t>19DP3370</t>
  </si>
  <si>
    <t>2301 Carrs Mill Rd</t>
  </si>
  <si>
    <t>Fallston</t>
  </si>
  <si>
    <t>Federal Aviation Administration Lambs Knoll Remote Transmitter Site</t>
  </si>
  <si>
    <t>4848 Lambs Knoll Rd</t>
  </si>
  <si>
    <t>Boonsboro</t>
  </si>
  <si>
    <t>Ferry Farm Estates - Phase I</t>
  </si>
  <si>
    <t>5800 Hudson School Road</t>
  </si>
  <si>
    <t>Ferry Farm Estates - Phase II</t>
  </si>
  <si>
    <t>23255 Pembrook Dr</t>
  </si>
  <si>
    <t>Leonardtown</t>
  </si>
  <si>
    <t>11224 Dale Road</t>
  </si>
  <si>
    <t>Whaleyville</t>
  </si>
  <si>
    <t>Frederick Christian Fellowship Church WWTP</t>
  </si>
  <si>
    <t>10142 Hansonville Rd</t>
  </si>
  <si>
    <t>521 N. Division St</t>
  </si>
  <si>
    <t>Fruitland</t>
  </si>
  <si>
    <t>4740 Pisgah-Marbury Road</t>
  </si>
  <si>
    <t>Marbury</t>
  </si>
  <si>
    <t>2500 Old Westminster Pike</t>
  </si>
  <si>
    <t>Finksburg</t>
  </si>
  <si>
    <t>12793 Folly Quarter Road</t>
  </si>
  <si>
    <t>14025 Burnt Woods Road</t>
  </si>
  <si>
    <t>Glenelg</t>
  </si>
  <si>
    <t>Golf at the Crossvines
(formerly Poolesville Golf Course)</t>
  </si>
  <si>
    <t>16601 West Willard Rd</t>
  </si>
  <si>
    <t>Poolesville</t>
  </si>
  <si>
    <t>615 Cherry Hill Road</t>
  </si>
  <si>
    <t>Street</t>
  </si>
  <si>
    <t>401 Thomas Run Road</t>
  </si>
  <si>
    <t>200 Thomas Run Rd</t>
  </si>
  <si>
    <t>17301 York Road</t>
  </si>
  <si>
    <t>Parkton</t>
  </si>
  <si>
    <t>Glenbrook Dr &amp; Middletown Pkwy</t>
  </si>
  <si>
    <t>Middletown</t>
  </si>
  <si>
    <t>6215 Jones Village Rd</t>
  </si>
  <si>
    <t>Hurlock</t>
  </si>
  <si>
    <t>9552 Croppers Island Rd</t>
  </si>
  <si>
    <t>Newark</t>
  </si>
  <si>
    <t>4472 Gallant Green Road</t>
  </si>
  <si>
    <t>Waldorf</t>
  </si>
  <si>
    <t>SW of 310 Bateau Dr</t>
  </si>
  <si>
    <t>Stevensville</t>
  </si>
  <si>
    <t>29643 Kingston Lane</t>
  </si>
  <si>
    <t>Westover</t>
  </si>
  <si>
    <t>Lake Haven MHP WWTP</t>
  </si>
  <si>
    <t>11003 Grays Corner Rd</t>
  </si>
  <si>
    <t>3151 Presidential Golf Drive</t>
  </si>
  <si>
    <t>Upper Marlboro</t>
  </si>
  <si>
    <t>Lakeview MHP</t>
  </si>
  <si>
    <t>4600 Sykesville Rd</t>
  </si>
  <si>
    <t>21401 Laytonsville Road</t>
  </si>
  <si>
    <t>12514 St. Martins Neck Rd.</t>
  </si>
  <si>
    <t>Bishopville</t>
  </si>
  <si>
    <t>3650 Riverside Road</t>
  </si>
  <si>
    <t>Nanjemoy</t>
  </si>
  <si>
    <t>700-712 Lisbon Center Dr</t>
  </si>
  <si>
    <t>Woodbine</t>
  </si>
  <si>
    <t>3212 Snake Ln</t>
  </si>
  <si>
    <t>12170 Lime Kiln road</t>
  </si>
  <si>
    <t>Fulton</t>
  </si>
  <si>
    <t>Mack Trucks, Inc</t>
  </si>
  <si>
    <t>13302 Pennsylvania Ave</t>
  </si>
  <si>
    <t>3499 Sweet Air Rd</t>
  </si>
  <si>
    <t>Mariner's Country Down</t>
  </si>
  <si>
    <t>11339 Sinepuxent Road</t>
  </si>
  <si>
    <t>785 Marley Run Drive</t>
  </si>
  <si>
    <t>Huntingtown</t>
  </si>
  <si>
    <t>23DP3232</t>
  </si>
  <si>
    <t>Marriotts Ridge and Mount View Middle Schools WWTP</t>
  </si>
  <si>
    <t>12100 Woodford Drive</t>
  </si>
  <si>
    <t>Marriottsville</t>
  </si>
  <si>
    <t>Maybelle Manor MHP</t>
  </si>
  <si>
    <t>218 Mount Zoar Rd</t>
  </si>
  <si>
    <t>Conowingo</t>
  </si>
  <si>
    <t>5018 Mountain Rd</t>
  </si>
  <si>
    <t>Pasadena</t>
  </si>
  <si>
    <t>9035 Ironsides Rd</t>
  </si>
  <si>
    <t>16700 Old Frederick Rd</t>
  </si>
  <si>
    <t>Mount Airy</t>
  </si>
  <si>
    <t>1824 Mountain Road</t>
  </si>
  <si>
    <t>Joppa</t>
  </si>
  <si>
    <t>9624 Stephen Decatur Hwy.</t>
  </si>
  <si>
    <t>3940 Nassawango Rd</t>
  </si>
  <si>
    <t>Snow Hill</t>
  </si>
  <si>
    <t>2306 Churchville Rd</t>
  </si>
  <si>
    <t>2680 Roxbury Mills Rd, Rte 97</t>
  </si>
  <si>
    <t>Newark WWTP</t>
  </si>
  <si>
    <t>8025 Worcester Hwy</t>
  </si>
  <si>
    <t>Ocean Landing II Wastewater Treatment Facility</t>
  </si>
  <si>
    <t>U.S Rte 50 at MD Rte 589</t>
  </si>
  <si>
    <t>1500 Glencoe Rd</t>
  </si>
  <si>
    <t>Sparks Glencoe</t>
  </si>
  <si>
    <t>18405 Queen Anne Rd</t>
  </si>
  <si>
    <t>Pearlstone Family Camp (Adamah c/o Pearlstone Conference and Retreat Center)</t>
  </si>
  <si>
    <t>5425 Mount Gilead Rd</t>
  </si>
  <si>
    <t>17DP3305A</t>
  </si>
  <si>
    <t>Peddicord Property</t>
  </si>
  <si>
    <t>4643 Sheppard Manor Lane</t>
  </si>
  <si>
    <t>9891 Old Princess Anne Road</t>
  </si>
  <si>
    <t>Madeline Circle</t>
  </si>
  <si>
    <t>Parsonsburg</t>
  </si>
  <si>
    <t>24090 Nanticoke Road</t>
  </si>
  <si>
    <t>Quantico</t>
  </si>
  <si>
    <t>Power Electronics Co., Inc.</t>
  </si>
  <si>
    <t>3011 Millington Rd</t>
  </si>
  <si>
    <t>Millington</t>
  </si>
  <si>
    <t>13525 Rustling Oaks Drive</t>
  </si>
  <si>
    <t>Wye Mills</t>
  </si>
  <si>
    <t>455 Sugar Notch Rd</t>
  </si>
  <si>
    <t>Barstow</t>
  </si>
  <si>
    <t>Prince Frederick WWTP #2</t>
  </si>
  <si>
    <t>655 Tobacco Ridge Rd</t>
  </si>
  <si>
    <t>Prince Frederick</t>
  </si>
  <si>
    <t>Rtes 18 &amp; 301</t>
  </si>
  <si>
    <t>Lots 2 &amp; 3, Ragged Point Rd; Sunset Farm</t>
  </si>
  <si>
    <t>314 Grove Neck Road</t>
  </si>
  <si>
    <t>Earleville</t>
  </si>
  <si>
    <t>2505 Brickhouse Rd</t>
  </si>
  <si>
    <t>Flamingo Rd off Finchville Reliance Rd</t>
  </si>
  <si>
    <t>Reliance</t>
  </si>
  <si>
    <t>1364 W Central Ave</t>
  </si>
  <si>
    <t>Davidsonville</t>
  </si>
  <si>
    <t>RG Steel Sparrows Point, LLC</t>
  </si>
  <si>
    <t>1600 Sparrows Point Blvd</t>
  </si>
  <si>
    <t>Baltimore</t>
  </si>
  <si>
    <t>11401 Grays Corner Road</t>
  </si>
  <si>
    <t>11515 River Run Lane</t>
  </si>
  <si>
    <t>4443 Grave Run Rd</t>
  </si>
  <si>
    <t>Manchester</t>
  </si>
  <si>
    <t>St. Martins Neck &amp; Daye Rds</t>
  </si>
  <si>
    <t>11230 Whithorn Way</t>
  </si>
  <si>
    <t>25DP3544A</t>
  </si>
  <si>
    <t>12623 Catoctin Furnace Rd</t>
  </si>
  <si>
    <t>Thurmont</t>
  </si>
  <si>
    <t>807 Parker Rd</t>
  </si>
  <si>
    <t>Salisbury</t>
  </si>
  <si>
    <t>3380 Turkey Point road</t>
  </si>
  <si>
    <t>North East</t>
  </si>
  <si>
    <t>1993 Baltimore-Annapolis Blvd</t>
  </si>
  <si>
    <t>SHA - Keysers Ridge Shop</t>
  </si>
  <si>
    <t>3876 National Pike</t>
  </si>
  <si>
    <t>Accident</t>
  </si>
  <si>
    <t>Shamrock Farm Race Training Facility</t>
  </si>
  <si>
    <t>4926 Woodbine Road</t>
  </si>
  <si>
    <t>Shoppes At Apple Greene WWTP</t>
  </si>
  <si>
    <t>10105 Dunkirk Way</t>
  </si>
  <si>
    <t>647 Contees Wharf Road</t>
  </si>
  <si>
    <t>Edgewater</t>
  </si>
  <si>
    <t>Solomons WWTP</t>
  </si>
  <si>
    <t>500 Sweetwater Lane</t>
  </si>
  <si>
    <t>Lusby</t>
  </si>
  <si>
    <t>1900 Liberty Road</t>
  </si>
  <si>
    <t>2015 Industrial Dr</t>
  </si>
  <si>
    <t>919 Wise Ave</t>
  </si>
  <si>
    <t>Dundalk</t>
  </si>
  <si>
    <t>21911 Rosebank Road</t>
  </si>
  <si>
    <t>27691 Polo Ct</t>
  </si>
  <si>
    <t>Sysco Eastern Maryland</t>
  </si>
  <si>
    <t>33300 Peach Orchard Road</t>
  </si>
  <si>
    <t>Pocomoke City</t>
  </si>
  <si>
    <t>9786 Klondike Road</t>
  </si>
  <si>
    <t>The Arena Health Club</t>
  </si>
  <si>
    <t>2304 Churchville Road</t>
  </si>
  <si>
    <t>21DP3414</t>
  </si>
  <si>
    <t>The Benedictine School for Exceptional Children WWTP</t>
  </si>
  <si>
    <t>14299 Benedictine Lane</t>
  </si>
  <si>
    <t>Ridgely</t>
  </si>
  <si>
    <t>8731 Stephen Decatur Hwy</t>
  </si>
  <si>
    <t>9002 Clemsonville Rd.</t>
  </si>
  <si>
    <t>Union Bridge</t>
  </si>
  <si>
    <t>The Trappe East Wastewater Facility</t>
  </si>
  <si>
    <t>Backtown Rd &amp; Clementine Lane</t>
  </si>
  <si>
    <t>Trappe</t>
  </si>
  <si>
    <t>15201 Players Way</t>
  </si>
  <si>
    <t>2636 Old Westminster Pike</t>
  </si>
  <si>
    <t>Towson Academic Building at Harford Community College</t>
  </si>
  <si>
    <t>501 Thomas Run Rd</t>
  </si>
  <si>
    <t>13400 Triadelphia Rd</t>
  </si>
  <si>
    <t>3675 Decoursey Bridge Rd</t>
  </si>
  <si>
    <t>Hawk Lane</t>
  </si>
  <si>
    <t>Princess Anne</t>
  </si>
  <si>
    <t>Vera's White Sands Beach Club</t>
  </si>
  <si>
    <t>Village Down River Condominium Associations</t>
  </si>
  <si>
    <t>27410 Riverside Dr Ext</t>
  </si>
  <si>
    <t>Villas at West Friendship (Wah Property)</t>
  </si>
  <si>
    <t>12799 Buttercup Ct</t>
  </si>
  <si>
    <t>West Friendship</t>
  </si>
  <si>
    <t>2401 Singerly Rd</t>
  </si>
  <si>
    <t>Elkton</t>
  </si>
  <si>
    <t>Walnut Creek Subdivision Shared Facility</t>
  </si>
  <si>
    <t>4904 Sheppard Lane</t>
  </si>
  <si>
    <t>24DP3538</t>
  </si>
  <si>
    <t>5192 Sheppard Lane</t>
  </si>
  <si>
    <t>7301 Westmore Rd</t>
  </si>
  <si>
    <t>Rockville</t>
  </si>
  <si>
    <t>2300 E. Churchville Rd</t>
  </si>
  <si>
    <t>1079 Firetower Road</t>
  </si>
  <si>
    <t>Colora</t>
  </si>
  <si>
    <t>2380 State Rte 97</t>
  </si>
  <si>
    <t>Cooksville</t>
  </si>
  <si>
    <t>35695 Golf Course Drive</t>
  </si>
  <si>
    <t>Mechanicsville</t>
  </si>
  <si>
    <t>18501 Aquasco Road</t>
  </si>
  <si>
    <t>5405 Leonardtown Road</t>
  </si>
  <si>
    <t>2260 Solomons Island Road</t>
  </si>
  <si>
    <t>1901 Fallston Road</t>
  </si>
  <si>
    <t>Ragged Point Rd</t>
  </si>
  <si>
    <t>Flamingo Rd</t>
  </si>
  <si>
    <t>Route 18</t>
  </si>
  <si>
    <t>addr</t>
  </si>
  <si>
    <t>city</t>
  </si>
  <si>
    <t>lat</t>
  </si>
  <si>
    <t>long</t>
  </si>
  <si>
    <t>38.360057, -75.266878</t>
  </si>
  <si>
    <t>39.475035, -76.557204</t>
  </si>
  <si>
    <t>39.599319, -76.659563</t>
  </si>
  <si>
    <t>38.588658, -76.793209</t>
  </si>
  <si>
    <t>310 Bateau Dr</t>
  </si>
  <si>
    <t>38.984934, -76.324778</t>
  </si>
  <si>
    <t>38.846640, -76.733352</t>
  </si>
  <si>
    <t>39.538370, -76.238873</t>
  </si>
  <si>
    <t>39.515258, -76.557654</t>
  </si>
  <si>
    <t>39.102963, -76.433207</t>
  </si>
  <si>
    <t>38.464701, -77.168127</t>
  </si>
  <si>
    <t>38.141879, -75.463354</t>
  </si>
  <si>
    <t>38.396186, -75.456401</t>
  </si>
  <si>
    <t>38.992060, -76.169120</t>
  </si>
  <si>
    <t>38.544876, -76.275121</t>
  </si>
  <si>
    <t>39.390061, -75.927998</t>
  </si>
  <si>
    <t>38.633485, -75.709844</t>
  </si>
  <si>
    <t>39.398075, -76.928529</t>
  </si>
  <si>
    <t>38.271608, -76.681390</t>
  </si>
  <si>
    <t>38.634800, -76.756100</t>
  </si>
  <si>
    <t>38.575560, -76.862612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</si>
</sst>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Calibri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2"/>
  <sheetViews>
    <sheetView tabSelected="1" topLeftCell="A187" workbookViewId="0">
      <selection activeCell="C216" sqref="C216"/>
    </sheetView>
  </sheetViews>
  <sheetFormatPr defaultRowHeight="15"/>
  <cols>
    <col min="1" max="1" width="12.7109375" bestFit="1" customWidth="1"/>
    <col min="2" max="2" width="12" bestFit="1" customWidth="1"/>
    <col min="3" max="3" width="16.85546875" bestFit="1" customWidth="1"/>
    <col min="4" max="4" width="16.7109375" bestFit="1" customWidth="1"/>
    <col min="5" max="5" width="46.85546875" customWidth="1"/>
    <col min="6" max="6" width="37" bestFit="1" customWidth="1"/>
    <col min="7" max="7" width="1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-8542729.1905889008</v>
      </c>
      <c r="B2">
        <v>4780067.6105883503</v>
      </c>
      <c r="C2" t="s">
        <v>246</v>
      </c>
      <c r="D2" t="s">
        <v>247</v>
      </c>
      <c r="E2" t="s">
        <v>248</v>
      </c>
    </row>
    <row r="3" spans="1:5">
      <c r="A3">
        <v>-8602880.2878208291</v>
      </c>
      <c r="B3">
        <v>4771694.7081238497</v>
      </c>
      <c r="C3" t="s">
        <v>271</v>
      </c>
      <c r="D3" t="s">
        <v>272</v>
      </c>
      <c r="E3" t="s">
        <v>273</v>
      </c>
    </row>
    <row r="4" spans="1:5">
      <c r="A4">
        <v>-8531987.0823663305</v>
      </c>
      <c r="B4">
        <v>4752521.6145377001</v>
      </c>
      <c r="C4" t="s">
        <v>197</v>
      </c>
      <c r="D4" t="s">
        <v>198</v>
      </c>
      <c r="E4" t="s">
        <v>199</v>
      </c>
    </row>
    <row r="5" spans="1:5">
      <c r="A5">
        <v>-8444032.4394956604</v>
      </c>
      <c r="B5">
        <v>4757859.7002414698</v>
      </c>
      <c r="C5" t="s">
        <v>56</v>
      </c>
      <c r="D5" t="s">
        <v>57</v>
      </c>
      <c r="E5" t="s">
        <v>58</v>
      </c>
    </row>
    <row r="6" spans="1:5">
      <c r="A6">
        <v>-8518628.5764918998</v>
      </c>
      <c r="B6">
        <v>4763836.2253099903</v>
      </c>
      <c r="C6" t="s">
        <v>170</v>
      </c>
      <c r="D6" t="s">
        <v>171</v>
      </c>
      <c r="E6" t="s">
        <v>172</v>
      </c>
    </row>
    <row r="7" spans="1:5">
      <c r="A7">
        <v>-8537963.2692295704</v>
      </c>
      <c r="B7">
        <v>4694709.1343515599</v>
      </c>
      <c r="C7" t="s">
        <v>158</v>
      </c>
      <c r="D7" t="s">
        <v>159</v>
      </c>
      <c r="E7" t="s">
        <v>160</v>
      </c>
    </row>
    <row r="8" spans="1:5">
      <c r="A8">
        <v>-8564269.5410561301</v>
      </c>
      <c r="B8">
        <v>4746175.6111268904</v>
      </c>
      <c r="C8" t="s">
        <v>506</v>
      </c>
      <c r="D8" t="s">
        <v>507</v>
      </c>
      <c r="E8" t="s">
        <v>508</v>
      </c>
    </row>
    <row r="9" spans="1:5">
      <c r="A9">
        <v>-8474481.4371733591</v>
      </c>
      <c r="B9">
        <v>4710206.5669980701</v>
      </c>
      <c r="C9" t="s">
        <v>545</v>
      </c>
      <c r="D9" t="s">
        <v>546</v>
      </c>
      <c r="E9" t="s">
        <v>547</v>
      </c>
    </row>
    <row r="10" spans="1:5">
      <c r="A10">
        <v>-8366315.9615127305</v>
      </c>
      <c r="B10">
        <v>4614665.0940608801</v>
      </c>
      <c r="C10" t="s">
        <v>24</v>
      </c>
      <c r="D10" t="s">
        <v>25</v>
      </c>
      <c r="E10" t="s">
        <v>26</v>
      </c>
    </row>
    <row r="11" spans="1:5">
      <c r="A11">
        <v>-8365215.9023047201</v>
      </c>
      <c r="B11">
        <v>4621404.4936535601</v>
      </c>
      <c r="C11" t="s">
        <v>461</v>
      </c>
      <c r="D11" t="s">
        <v>462</v>
      </c>
      <c r="E11" t="s">
        <v>463</v>
      </c>
    </row>
    <row r="12" spans="1:5">
      <c r="A12">
        <v>-8414672.48039639</v>
      </c>
      <c r="B12">
        <v>4590848.9850686397</v>
      </c>
      <c r="C12" t="s">
        <v>86</v>
      </c>
      <c r="D12" t="s">
        <v>87</v>
      </c>
      <c r="E12" t="s">
        <v>88</v>
      </c>
    </row>
    <row r="13" spans="1:5">
      <c r="A13">
        <v>-8514940.6730814092</v>
      </c>
      <c r="B13">
        <v>4722488.51132192</v>
      </c>
      <c r="C13" t="s">
        <v>534</v>
      </c>
      <c r="D13" t="s">
        <v>569</v>
      </c>
      <c r="E13" t="s">
        <v>535</v>
      </c>
    </row>
    <row r="14" spans="1:5">
      <c r="A14">
        <v>-8486252.4714493304</v>
      </c>
      <c r="B14">
        <v>4735167.45620526</v>
      </c>
      <c r="C14" t="s">
        <v>234</v>
      </c>
      <c r="D14" t="s">
        <v>235</v>
      </c>
      <c r="E14" t="s">
        <v>236</v>
      </c>
    </row>
    <row r="15" spans="1:5">
      <c r="A15">
        <v>-8456248.8073945493</v>
      </c>
      <c r="B15">
        <v>4656515.4147895901</v>
      </c>
      <c r="C15" t="s">
        <v>518</v>
      </c>
      <c r="D15" t="s">
        <v>519</v>
      </c>
      <c r="E15" t="s">
        <v>520</v>
      </c>
    </row>
    <row r="16" spans="1:5">
      <c r="A16">
        <v>-8811321.9711698201</v>
      </c>
      <c r="B16">
        <v>4820976.1268990599</v>
      </c>
      <c r="C16" t="s">
        <v>206</v>
      </c>
      <c r="D16" t="s">
        <v>207</v>
      </c>
      <c r="E16" t="s">
        <v>208</v>
      </c>
    </row>
    <row r="17" spans="1:5">
      <c r="A17">
        <v>-8384963.2360995999</v>
      </c>
      <c r="B17">
        <v>4625602.7198971696</v>
      </c>
      <c r="C17" t="s">
        <v>358</v>
      </c>
      <c r="D17" t="s">
        <v>571</v>
      </c>
      <c r="E17" t="s">
        <v>359</v>
      </c>
    </row>
    <row r="18" spans="1:5">
      <c r="A18">
        <v>-8441508.2143821791</v>
      </c>
      <c r="B18">
        <v>4659868.2153141899</v>
      </c>
      <c r="C18" t="s">
        <v>283</v>
      </c>
      <c r="D18" t="s">
        <v>284</v>
      </c>
      <c r="E18" t="s">
        <v>285</v>
      </c>
    </row>
    <row r="19" spans="1:5">
      <c r="A19">
        <v>-8584659.6805470195</v>
      </c>
      <c r="B19">
        <v>4748698.60663711</v>
      </c>
      <c r="C19" t="s">
        <v>334</v>
      </c>
      <c r="D19" t="s">
        <v>335</v>
      </c>
      <c r="E19" t="s">
        <v>336</v>
      </c>
    </row>
    <row r="20" spans="1:5">
      <c r="A20">
        <v>-8653518.5779670198</v>
      </c>
      <c r="B20">
        <v>4810577.5680020098</v>
      </c>
      <c r="C20" t="s">
        <v>209</v>
      </c>
      <c r="D20" t="s">
        <v>210</v>
      </c>
      <c r="E20" t="s">
        <v>211</v>
      </c>
    </row>
    <row r="21" spans="1:5">
      <c r="A21">
        <v>-8448809.8824222907</v>
      </c>
      <c r="B21">
        <v>4791663.8055424802</v>
      </c>
      <c r="C21" t="s">
        <v>116</v>
      </c>
      <c r="D21" t="s">
        <v>139</v>
      </c>
      <c r="E21" t="s">
        <v>117</v>
      </c>
    </row>
    <row r="22" spans="1:5">
      <c r="A22">
        <v>-8535483.1266344395</v>
      </c>
      <c r="B22">
        <v>4783447.2617707001</v>
      </c>
      <c r="C22" t="s">
        <v>226</v>
      </c>
      <c r="D22" t="s">
        <v>227</v>
      </c>
      <c r="E22" t="s">
        <v>228</v>
      </c>
    </row>
    <row r="23" spans="1:5">
      <c r="A23">
        <v>-8549681.2041084394</v>
      </c>
      <c r="B23">
        <v>4787903.759207</v>
      </c>
      <c r="C23" t="s">
        <v>173</v>
      </c>
      <c r="D23" t="s">
        <v>174</v>
      </c>
      <c r="E23" t="s">
        <v>175</v>
      </c>
    </row>
    <row r="24" spans="1:5">
      <c r="A24">
        <v>-8490270.4928097706</v>
      </c>
      <c r="B24">
        <v>4821897.9579308201</v>
      </c>
      <c r="C24" t="s">
        <v>7</v>
      </c>
      <c r="D24" t="s">
        <v>141</v>
      </c>
      <c r="E24" t="s">
        <v>8</v>
      </c>
    </row>
    <row r="25" spans="1:5">
      <c r="A25">
        <v>-8484621.3475132398</v>
      </c>
      <c r="B25">
        <v>4652033.1639297297</v>
      </c>
      <c r="C25" t="s">
        <v>512</v>
      </c>
      <c r="D25" t="s">
        <v>513</v>
      </c>
      <c r="E25" t="s">
        <v>514</v>
      </c>
    </row>
    <row r="26" spans="1:5">
      <c r="A26">
        <v>-8523678.0285942908</v>
      </c>
      <c r="B26">
        <v>4744122.4685913697</v>
      </c>
      <c r="C26" t="s">
        <v>268</v>
      </c>
      <c r="D26" t="s">
        <v>269</v>
      </c>
      <c r="E26" t="s">
        <v>270</v>
      </c>
    </row>
    <row r="27" spans="1:5">
      <c r="A27">
        <v>-8463424.7400698103</v>
      </c>
      <c r="B27">
        <v>4749276.4253059104</v>
      </c>
      <c r="C27" t="s">
        <v>315</v>
      </c>
      <c r="D27" t="s">
        <v>316</v>
      </c>
      <c r="E27" t="s">
        <v>255</v>
      </c>
    </row>
    <row r="28" spans="1:5">
      <c r="A28">
        <v>-8652600.8600849193</v>
      </c>
      <c r="B28">
        <v>4803849.1881083604</v>
      </c>
      <c r="C28" t="s">
        <v>74</v>
      </c>
      <c r="D28" t="s">
        <v>75</v>
      </c>
      <c r="E28" t="s">
        <v>76</v>
      </c>
    </row>
    <row r="29" spans="1:5">
      <c r="A29">
        <v>-8476273.2913569193</v>
      </c>
      <c r="B29">
        <v>4689075.2311129197</v>
      </c>
      <c r="C29" t="s">
        <v>47</v>
      </c>
      <c r="D29" t="s">
        <v>48</v>
      </c>
      <c r="E29" t="s">
        <v>49</v>
      </c>
    </row>
    <row r="30" spans="1:5">
      <c r="A30">
        <v>-8533419.4443322103</v>
      </c>
      <c r="B30">
        <v>4682368.3845258402</v>
      </c>
      <c r="C30" t="s">
        <v>112</v>
      </c>
      <c r="D30" t="s">
        <v>134</v>
      </c>
      <c r="E30" t="s">
        <v>113</v>
      </c>
    </row>
    <row r="31" spans="1:5">
      <c r="A31">
        <v>-8482723.7459986899</v>
      </c>
      <c r="B31">
        <v>4656726.9277773201</v>
      </c>
      <c r="C31" t="s">
        <v>521</v>
      </c>
      <c r="D31" t="s">
        <v>522</v>
      </c>
      <c r="E31" t="s">
        <v>523</v>
      </c>
    </row>
    <row r="32" spans="1:5">
      <c r="A32">
        <v>-8554495.7164255008</v>
      </c>
      <c r="B32">
        <v>4793468.4014363699</v>
      </c>
      <c r="C32" t="s">
        <v>331</v>
      </c>
      <c r="D32" t="s">
        <v>332</v>
      </c>
      <c r="E32" t="s">
        <v>333</v>
      </c>
    </row>
    <row r="33" spans="1:5">
      <c r="A33">
        <v>-8544498.0016378593</v>
      </c>
      <c r="B33">
        <v>4653830.8914075196</v>
      </c>
      <c r="C33" t="s">
        <v>118</v>
      </c>
      <c r="D33" t="s">
        <v>129</v>
      </c>
      <c r="E33" t="s">
        <v>119</v>
      </c>
    </row>
    <row r="34" spans="1:5">
      <c r="A34">
        <v>-8491580.7308977805</v>
      </c>
      <c r="B34">
        <v>4798484.0298501104</v>
      </c>
      <c r="C34" t="s">
        <v>410</v>
      </c>
      <c r="D34" t="s">
        <v>411</v>
      </c>
      <c r="E34" t="s">
        <v>412</v>
      </c>
    </row>
    <row r="35" spans="1:5">
      <c r="A35">
        <v>-8491250.3269677293</v>
      </c>
      <c r="B35">
        <v>4801620.3938873904</v>
      </c>
      <c r="C35" t="s">
        <v>557</v>
      </c>
      <c r="D35" t="s">
        <v>558</v>
      </c>
      <c r="E35" t="s">
        <v>559</v>
      </c>
    </row>
    <row r="36" spans="1:5">
      <c r="A36">
        <v>-8434529.1502263807</v>
      </c>
      <c r="B36">
        <v>4731757.4934013803</v>
      </c>
      <c r="C36" t="s">
        <v>470</v>
      </c>
      <c r="D36" t="s">
        <v>471</v>
      </c>
      <c r="E36" t="s">
        <v>472</v>
      </c>
    </row>
    <row r="37" spans="1:5">
      <c r="A37">
        <v>-8576225.8932855409</v>
      </c>
      <c r="B37">
        <v>4760799.6350904005</v>
      </c>
      <c r="C37" t="s">
        <v>182</v>
      </c>
      <c r="D37" t="s">
        <v>183</v>
      </c>
      <c r="E37" t="s">
        <v>184</v>
      </c>
    </row>
    <row r="38" spans="1:5">
      <c r="A38">
        <v>-8442684.9170596097</v>
      </c>
      <c r="B38">
        <v>4779775.8674661499</v>
      </c>
      <c r="C38" t="s">
        <v>317</v>
      </c>
      <c r="D38" t="s">
        <v>318</v>
      </c>
      <c r="E38" t="s">
        <v>319</v>
      </c>
    </row>
    <row r="39" spans="1:5">
      <c r="A39">
        <v>-8551834.7353175692</v>
      </c>
      <c r="B39">
        <v>4672239.6531644696</v>
      </c>
      <c r="C39" t="s">
        <v>363</v>
      </c>
      <c r="D39" t="s">
        <v>556</v>
      </c>
      <c r="E39" t="s">
        <v>364</v>
      </c>
    </row>
    <row r="40" spans="1:5">
      <c r="A40">
        <v>-8654182.3204308692</v>
      </c>
      <c r="B40">
        <v>4817691.8189383699</v>
      </c>
      <c r="C40" t="s">
        <v>256</v>
      </c>
      <c r="D40" t="s">
        <v>257</v>
      </c>
      <c r="E40" t="s">
        <v>258</v>
      </c>
    </row>
    <row r="41" spans="1:5">
      <c r="A41">
        <v>-8463450.7888306603</v>
      </c>
      <c r="B41">
        <v>4728575.7258117702</v>
      </c>
      <c r="C41" t="s">
        <v>536</v>
      </c>
      <c r="D41" t="s">
        <v>537</v>
      </c>
      <c r="E41" t="s">
        <v>538</v>
      </c>
    </row>
    <row r="42" spans="1:5">
      <c r="A42">
        <v>-8566817.7821808998</v>
      </c>
      <c r="B42">
        <v>4661612.3109404501</v>
      </c>
      <c r="C42" t="s">
        <v>77</v>
      </c>
      <c r="D42" t="s">
        <v>78</v>
      </c>
      <c r="E42" t="s">
        <v>79</v>
      </c>
    </row>
    <row r="43" spans="1:5">
      <c r="A43">
        <v>-8546450.1558881607</v>
      </c>
      <c r="B43">
        <v>4649056.58659337</v>
      </c>
      <c r="C43" t="s">
        <v>365</v>
      </c>
      <c r="D43" t="s">
        <v>366</v>
      </c>
      <c r="E43" t="s">
        <v>367</v>
      </c>
    </row>
    <row r="44" spans="1:5">
      <c r="A44">
        <v>-8546058.4226000607</v>
      </c>
      <c r="B44">
        <v>4650512.0720834201</v>
      </c>
      <c r="C44" t="s">
        <v>124</v>
      </c>
      <c r="D44" t="s">
        <v>151</v>
      </c>
      <c r="E44" t="s">
        <v>125</v>
      </c>
    </row>
    <row r="45" spans="1:5">
      <c r="A45">
        <v>-8547117.4049159698</v>
      </c>
      <c r="B45">
        <v>4647144.4159141704</v>
      </c>
      <c r="C45" t="s">
        <v>428</v>
      </c>
      <c r="D45" t="s">
        <v>429</v>
      </c>
      <c r="E45" t="s">
        <v>430</v>
      </c>
    </row>
    <row r="46" spans="1:5">
      <c r="A46">
        <v>-8507064.4294895697</v>
      </c>
      <c r="B46">
        <v>4627553.0512941796</v>
      </c>
      <c r="C46" t="s">
        <v>185</v>
      </c>
      <c r="D46" t="s">
        <v>186</v>
      </c>
      <c r="E46" t="s">
        <v>187</v>
      </c>
    </row>
    <row r="47" spans="1:5">
      <c r="A47">
        <v>-8442783.6017882004</v>
      </c>
      <c r="B47">
        <v>4706248.8978067804</v>
      </c>
      <c r="C47" t="s">
        <v>18</v>
      </c>
      <c r="D47" t="s">
        <v>19</v>
      </c>
      <c r="E47" t="s">
        <v>20</v>
      </c>
    </row>
    <row r="48" spans="1:5">
      <c r="A48">
        <v>-8523177.0908857193</v>
      </c>
      <c r="B48">
        <v>4749551.7733556498</v>
      </c>
      <c r="C48" t="s">
        <v>164</v>
      </c>
      <c r="D48" t="s">
        <v>165</v>
      </c>
      <c r="E48" t="s">
        <v>166</v>
      </c>
    </row>
    <row r="49" spans="1:5">
      <c r="A49">
        <v>-8541935.20432082</v>
      </c>
      <c r="B49">
        <v>4712082.94334458</v>
      </c>
      <c r="C49" t="s">
        <v>9</v>
      </c>
      <c r="D49" t="s">
        <v>10</v>
      </c>
      <c r="E49" t="s">
        <v>11</v>
      </c>
    </row>
    <row r="50" spans="1:5">
      <c r="A50">
        <v>-8549278.9511284493</v>
      </c>
      <c r="B50">
        <v>4695829.0882790498</v>
      </c>
      <c r="C50" t="s">
        <v>194</v>
      </c>
      <c r="D50" t="s">
        <v>195</v>
      </c>
      <c r="E50" t="s">
        <v>196</v>
      </c>
    </row>
    <row r="51" spans="1:5">
      <c r="A51">
        <v>-8613093.4058231506</v>
      </c>
      <c r="B51">
        <v>4783953.1401087698</v>
      </c>
      <c r="C51" t="s">
        <v>108</v>
      </c>
      <c r="D51" t="s">
        <v>143</v>
      </c>
      <c r="E51" t="s">
        <v>109</v>
      </c>
    </row>
    <row r="52" spans="1:5">
      <c r="A52">
        <v>-8555702.8163556196</v>
      </c>
      <c r="B52">
        <v>4617078.0647112001</v>
      </c>
      <c r="C52" t="s">
        <v>565</v>
      </c>
      <c r="D52" t="s">
        <v>566</v>
      </c>
      <c r="E52" t="s">
        <v>567</v>
      </c>
    </row>
    <row r="53" spans="1:5">
      <c r="A53">
        <v>-8541908.6546222698</v>
      </c>
      <c r="B53">
        <v>4757923.0964792604</v>
      </c>
      <c r="C53" t="s">
        <v>167</v>
      </c>
      <c r="D53" t="s">
        <v>168</v>
      </c>
      <c r="E53" t="s">
        <v>169</v>
      </c>
    </row>
    <row r="54" spans="1:5">
      <c r="A54">
        <v>-8571280.6362265404</v>
      </c>
      <c r="B54">
        <v>4783580.8630604297</v>
      </c>
      <c r="C54" t="s">
        <v>5</v>
      </c>
      <c r="D54" t="s">
        <v>140</v>
      </c>
      <c r="E54" t="s">
        <v>6</v>
      </c>
    </row>
    <row r="55" spans="1:5">
      <c r="A55">
        <v>-8516643.8612905499</v>
      </c>
      <c r="B55">
        <v>4782264.38419542</v>
      </c>
      <c r="C55" t="s">
        <v>249</v>
      </c>
      <c r="D55" t="s">
        <v>250</v>
      </c>
      <c r="E55" t="s">
        <v>251</v>
      </c>
    </row>
    <row r="56" spans="1:5">
      <c r="A56">
        <v>-8638926.2625163794</v>
      </c>
      <c r="B56">
        <v>4771828.1532816701</v>
      </c>
      <c r="C56" t="s">
        <v>145</v>
      </c>
      <c r="D56" t="s">
        <v>146</v>
      </c>
      <c r="E56" t="s">
        <v>147</v>
      </c>
    </row>
    <row r="57" spans="1:5">
      <c r="A57">
        <v>-8527156.5400425997</v>
      </c>
      <c r="B57">
        <v>4724968.0937938699</v>
      </c>
      <c r="C57" t="s">
        <v>554</v>
      </c>
      <c r="D57" t="s">
        <v>577</v>
      </c>
      <c r="E57" t="s">
        <v>555</v>
      </c>
    </row>
    <row r="58" spans="1:5">
      <c r="A58">
        <v>-8435935.2823743392</v>
      </c>
      <c r="B58">
        <v>4676474.1793303601</v>
      </c>
      <c r="C58" t="s">
        <v>89</v>
      </c>
      <c r="D58" t="s">
        <v>90</v>
      </c>
      <c r="E58" t="s">
        <v>91</v>
      </c>
    </row>
    <row r="59" spans="1:5">
      <c r="A59">
        <v>-8641218.0525330901</v>
      </c>
      <c r="B59">
        <v>4784350.0778792398</v>
      </c>
      <c r="C59" t="s">
        <v>221</v>
      </c>
      <c r="D59" t="s">
        <v>222</v>
      </c>
      <c r="E59" t="s">
        <v>223</v>
      </c>
    </row>
    <row r="60" spans="1:5">
      <c r="A60">
        <v>-8603315.1017518695</v>
      </c>
      <c r="B60">
        <v>4736344.8185531497</v>
      </c>
      <c r="C60" t="s">
        <v>322</v>
      </c>
      <c r="D60" t="s">
        <v>323</v>
      </c>
      <c r="E60" t="s">
        <v>324</v>
      </c>
    </row>
    <row r="61" spans="1:5">
      <c r="A61">
        <v>-8569776.3202877101</v>
      </c>
      <c r="B61">
        <v>4756243.8776609497</v>
      </c>
      <c r="C61" t="s">
        <v>434</v>
      </c>
      <c r="D61" t="s">
        <v>435</v>
      </c>
      <c r="E61" t="s">
        <v>436</v>
      </c>
    </row>
    <row r="62" spans="1:5">
      <c r="A62">
        <v>-8480595.9019498993</v>
      </c>
      <c r="B62">
        <v>4653256.1038677096</v>
      </c>
      <c r="C62" t="s">
        <v>349</v>
      </c>
      <c r="D62" t="s">
        <v>350</v>
      </c>
      <c r="E62" t="s">
        <v>351</v>
      </c>
    </row>
    <row r="63" spans="1:5">
      <c r="A63">
        <v>-8480595.9019498993</v>
      </c>
      <c r="B63">
        <v>4653256.1038677096</v>
      </c>
      <c r="C63" t="s">
        <v>131</v>
      </c>
      <c r="D63" t="s">
        <v>135</v>
      </c>
      <c r="E63" t="s">
        <v>132</v>
      </c>
    </row>
    <row r="64" spans="1:5">
      <c r="A64">
        <v>-8378670.58821919</v>
      </c>
      <c r="B64">
        <v>4630415.9705707403</v>
      </c>
      <c r="C64" t="s">
        <v>497</v>
      </c>
      <c r="D64" t="s">
        <v>498</v>
      </c>
      <c r="E64" t="s">
        <v>499</v>
      </c>
    </row>
    <row r="65" spans="1:5">
      <c r="A65">
        <v>-8625866.8164539691</v>
      </c>
      <c r="B65">
        <v>4770773.5961397504</v>
      </c>
      <c r="C65" t="s">
        <v>301</v>
      </c>
      <c r="D65" t="s">
        <v>302</v>
      </c>
      <c r="E65" t="s">
        <v>303</v>
      </c>
    </row>
    <row r="66" spans="1:5">
      <c r="A66">
        <v>-8478045.1080321297</v>
      </c>
      <c r="B66">
        <v>4809032.5658710999</v>
      </c>
      <c r="C66" t="s">
        <v>252</v>
      </c>
      <c r="D66" t="s">
        <v>253</v>
      </c>
      <c r="E66" t="s">
        <v>254</v>
      </c>
    </row>
    <row r="67" spans="1:5">
      <c r="A67">
        <v>-8468788.2801154703</v>
      </c>
      <c r="B67">
        <v>4690019.7817528201</v>
      </c>
      <c r="C67" t="s">
        <v>231</v>
      </c>
      <c r="D67" t="s">
        <v>232</v>
      </c>
      <c r="E67" t="s">
        <v>233</v>
      </c>
    </row>
    <row r="68" spans="1:5">
      <c r="A68">
        <v>-8559923.8774355594</v>
      </c>
      <c r="B68">
        <v>4763073.7557669701</v>
      </c>
      <c r="C68" t="s">
        <v>458</v>
      </c>
      <c r="D68" t="s">
        <v>459</v>
      </c>
      <c r="E68" t="s">
        <v>460</v>
      </c>
    </row>
    <row r="69" spans="1:5">
      <c r="A69">
        <v>-8533407.7417078391</v>
      </c>
      <c r="B69">
        <v>4753399.6758090397</v>
      </c>
      <c r="C69" t="s">
        <v>307</v>
      </c>
      <c r="D69" t="s">
        <v>308</v>
      </c>
      <c r="E69" t="s">
        <v>309</v>
      </c>
    </row>
    <row r="70" spans="1:5">
      <c r="A70">
        <v>-8591513.5102756694</v>
      </c>
      <c r="B70">
        <v>4815517.1936578499</v>
      </c>
      <c r="C70" t="s">
        <v>286</v>
      </c>
      <c r="D70" t="s">
        <v>287</v>
      </c>
      <c r="E70" t="s">
        <v>288</v>
      </c>
    </row>
    <row r="71" spans="1:5">
      <c r="A71">
        <v>-8517975.3537199292</v>
      </c>
      <c r="B71">
        <v>4721749.7826970099</v>
      </c>
      <c r="C71" t="s">
        <v>215</v>
      </c>
      <c r="D71" t="s">
        <v>216</v>
      </c>
      <c r="E71" t="s">
        <v>217</v>
      </c>
    </row>
    <row r="72" spans="1:5">
      <c r="A72">
        <v>-8641355.8104029503</v>
      </c>
      <c r="B72">
        <v>4786251.96478392</v>
      </c>
      <c r="C72" t="s">
        <v>383</v>
      </c>
      <c r="D72" t="s">
        <v>384</v>
      </c>
      <c r="E72" t="s">
        <v>385</v>
      </c>
    </row>
    <row r="73" spans="1:5">
      <c r="A73">
        <v>-8506282.4657264892</v>
      </c>
      <c r="B73">
        <v>4796722.6879751803</v>
      </c>
      <c r="C73" t="s">
        <v>395</v>
      </c>
      <c r="D73" t="s">
        <v>396</v>
      </c>
      <c r="E73" t="s">
        <v>397</v>
      </c>
    </row>
    <row r="74" spans="1:5">
      <c r="A74">
        <v>-8489739.9997764006</v>
      </c>
      <c r="B74">
        <v>4663506.67676319</v>
      </c>
      <c r="C74" t="s">
        <v>485</v>
      </c>
      <c r="D74" t="s">
        <v>486</v>
      </c>
      <c r="E74" t="s">
        <v>487</v>
      </c>
    </row>
    <row r="75" spans="1:5">
      <c r="A75">
        <v>-8489739.9997764006</v>
      </c>
      <c r="B75">
        <v>4663506.67676319</v>
      </c>
      <c r="C75" t="s">
        <v>488</v>
      </c>
      <c r="D75" t="s">
        <v>489</v>
      </c>
      <c r="E75" t="s">
        <v>490</v>
      </c>
    </row>
    <row r="76" spans="1:5">
      <c r="A76">
        <v>-8571113.32303188</v>
      </c>
      <c r="B76">
        <v>4808687.9641036298</v>
      </c>
      <c r="C76" t="s">
        <v>295</v>
      </c>
      <c r="D76" t="s">
        <v>296</v>
      </c>
      <c r="E76" t="s">
        <v>297</v>
      </c>
    </row>
    <row r="77" spans="1:5">
      <c r="A77">
        <v>-8525118.5739638004</v>
      </c>
      <c r="B77">
        <v>4623511.2649199702</v>
      </c>
      <c r="C77" t="s">
        <v>446</v>
      </c>
      <c r="D77" t="s">
        <v>447</v>
      </c>
      <c r="E77" t="s">
        <v>448</v>
      </c>
    </row>
    <row r="78" spans="1:5">
      <c r="A78">
        <v>-8383527.17930377</v>
      </c>
      <c r="B78">
        <v>4633321.8634075597</v>
      </c>
      <c r="C78" t="s">
        <v>44</v>
      </c>
      <c r="D78" t="s">
        <v>45</v>
      </c>
      <c r="E78" t="s">
        <v>46</v>
      </c>
    </row>
    <row r="79" spans="1:5">
      <c r="A79">
        <v>-8617376.9241691306</v>
      </c>
      <c r="B79">
        <v>4795246.0511514302</v>
      </c>
      <c r="C79" t="s">
        <v>491</v>
      </c>
      <c r="D79" t="s">
        <v>492</v>
      </c>
      <c r="E79" t="s">
        <v>493</v>
      </c>
    </row>
    <row r="80" spans="1:5">
      <c r="A80">
        <v>-8416409.2314320002</v>
      </c>
      <c r="B80">
        <v>4625197.9046248598</v>
      </c>
      <c r="C80" t="s">
        <v>482</v>
      </c>
      <c r="D80" t="s">
        <v>483</v>
      </c>
      <c r="E80" t="s">
        <v>484</v>
      </c>
    </row>
    <row r="81" spans="1:5">
      <c r="A81">
        <v>-8588355.5989608504</v>
      </c>
      <c r="B81">
        <v>4659002.04467458</v>
      </c>
      <c r="C81" t="s">
        <v>368</v>
      </c>
      <c r="D81" t="s">
        <v>369</v>
      </c>
      <c r="E81" t="s">
        <v>370</v>
      </c>
    </row>
    <row r="82" spans="1:5">
      <c r="A82">
        <v>-8560859.12813746</v>
      </c>
      <c r="B82">
        <v>4795279.8152626101</v>
      </c>
      <c r="C82" t="s">
        <v>352</v>
      </c>
      <c r="D82" t="s">
        <v>353</v>
      </c>
      <c r="E82" t="s">
        <v>354</v>
      </c>
    </row>
    <row r="83" spans="1:5">
      <c r="A83">
        <v>-8567023.66757912</v>
      </c>
      <c r="B83">
        <v>4758128.8135479204</v>
      </c>
      <c r="C83" t="s">
        <v>440</v>
      </c>
      <c r="D83" t="s">
        <v>441</v>
      </c>
      <c r="E83" t="s">
        <v>442</v>
      </c>
    </row>
    <row r="84" spans="1:5">
      <c r="A84">
        <v>-8571733.4839150906</v>
      </c>
      <c r="B84">
        <v>4761199.54284791</v>
      </c>
      <c r="C84" t="s">
        <v>419</v>
      </c>
      <c r="D84" t="s">
        <v>420</v>
      </c>
      <c r="E84" t="s">
        <v>421</v>
      </c>
    </row>
    <row r="85" spans="1:5">
      <c r="A85">
        <v>-8601379.4784459602</v>
      </c>
      <c r="B85">
        <v>4771170.01374471</v>
      </c>
      <c r="C85" t="s">
        <v>262</v>
      </c>
      <c r="D85" t="s">
        <v>263</v>
      </c>
      <c r="E85" t="s">
        <v>264</v>
      </c>
    </row>
    <row r="86" spans="1:5">
      <c r="A86">
        <v>-8501320.1767854001</v>
      </c>
      <c r="B86">
        <v>4813972.7292617597</v>
      </c>
      <c r="C86" t="s">
        <v>437</v>
      </c>
      <c r="D86" t="s">
        <v>438</v>
      </c>
      <c r="E86" t="s">
        <v>439</v>
      </c>
    </row>
    <row r="87" spans="1:5">
      <c r="A87">
        <v>-8647053.4759002198</v>
      </c>
      <c r="B87">
        <v>4807634.7266166704</v>
      </c>
      <c r="C87" t="s">
        <v>304</v>
      </c>
      <c r="D87" t="s">
        <v>305</v>
      </c>
      <c r="E87" t="s">
        <v>306</v>
      </c>
    </row>
    <row r="88" spans="1:5">
      <c r="A88">
        <v>-8576602.5984423906</v>
      </c>
      <c r="B88">
        <v>4677234.0135490503</v>
      </c>
      <c r="C88" t="s">
        <v>191</v>
      </c>
      <c r="D88" t="s">
        <v>192</v>
      </c>
      <c r="E88" t="s">
        <v>193</v>
      </c>
    </row>
    <row r="89" spans="1:5">
      <c r="A89">
        <v>-8491752.7674894296</v>
      </c>
      <c r="B89">
        <v>4802394.89237413</v>
      </c>
      <c r="C89" t="s">
        <v>53</v>
      </c>
      <c r="D89" t="s">
        <v>54</v>
      </c>
      <c r="E89" t="s">
        <v>55</v>
      </c>
    </row>
    <row r="90" spans="1:5">
      <c r="A90">
        <v>-8492282.7595850993</v>
      </c>
      <c r="B90">
        <v>4802089.5041069696</v>
      </c>
      <c r="C90" t="s">
        <v>473</v>
      </c>
      <c r="D90" t="s">
        <v>474</v>
      </c>
      <c r="E90" t="s">
        <v>475</v>
      </c>
    </row>
    <row r="91" spans="1:5">
      <c r="A91">
        <v>-8630628.22937393</v>
      </c>
      <c r="B91">
        <v>4784317.6477341997</v>
      </c>
      <c r="C91" t="s">
        <v>494</v>
      </c>
      <c r="D91" t="s">
        <v>495</v>
      </c>
      <c r="E91" t="s">
        <v>496</v>
      </c>
    </row>
    <row r="92" spans="1:5">
      <c r="A92">
        <v>-8443142.2256496493</v>
      </c>
      <c r="B92">
        <v>4667244.3251001704</v>
      </c>
      <c r="C92" t="s">
        <v>42</v>
      </c>
      <c r="D92" t="s">
        <v>130</v>
      </c>
      <c r="E92" t="s">
        <v>43</v>
      </c>
    </row>
    <row r="93" spans="1:5">
      <c r="A93">
        <v>-8606629.3056317698</v>
      </c>
      <c r="B93">
        <v>4761889.3886813596</v>
      </c>
      <c r="C93" t="s">
        <v>155</v>
      </c>
      <c r="D93" t="s">
        <v>156</v>
      </c>
      <c r="E93" t="s">
        <v>157</v>
      </c>
    </row>
    <row r="94" spans="1:5">
      <c r="A94">
        <v>-8375501.6562747797</v>
      </c>
      <c r="B94">
        <v>4614573.2410255698</v>
      </c>
      <c r="C94" t="s">
        <v>360</v>
      </c>
      <c r="D94" t="s">
        <v>361</v>
      </c>
      <c r="E94" t="s">
        <v>362</v>
      </c>
    </row>
    <row r="95" spans="1:5">
      <c r="A95">
        <v>-8527913.4569202401</v>
      </c>
      <c r="B95">
        <v>4748658.5354279596</v>
      </c>
      <c r="C95" t="s">
        <v>188</v>
      </c>
      <c r="D95" t="s">
        <v>189</v>
      </c>
      <c r="E95" t="s">
        <v>190</v>
      </c>
    </row>
    <row r="96" spans="1:5">
      <c r="A96">
        <v>-8574107.9286537096</v>
      </c>
      <c r="B96">
        <v>4726069.46546527</v>
      </c>
      <c r="C96" t="s">
        <v>152</v>
      </c>
      <c r="D96" t="s">
        <v>153</v>
      </c>
      <c r="E96" t="s">
        <v>154</v>
      </c>
    </row>
    <row r="97" spans="1:5">
      <c r="A97">
        <v>-8429892.4707958605</v>
      </c>
      <c r="B97">
        <v>4589894.4275551904</v>
      </c>
      <c r="C97" t="s">
        <v>298</v>
      </c>
      <c r="D97" t="s">
        <v>299</v>
      </c>
      <c r="E97" t="s">
        <v>300</v>
      </c>
    </row>
    <row r="98" spans="1:5">
      <c r="A98">
        <v>-8569368.0560552198</v>
      </c>
      <c r="B98">
        <v>4656503.8862280902</v>
      </c>
      <c r="C98" t="s">
        <v>259</v>
      </c>
      <c r="D98" t="s">
        <v>260</v>
      </c>
      <c r="E98" t="s">
        <v>261</v>
      </c>
    </row>
    <row r="99" spans="1:5">
      <c r="A99">
        <v>-8368879.7607052</v>
      </c>
      <c r="B99">
        <v>4629181.7897884799</v>
      </c>
      <c r="C99" t="s">
        <v>542</v>
      </c>
      <c r="D99" t="s">
        <v>543</v>
      </c>
      <c r="E99" t="s">
        <v>544</v>
      </c>
    </row>
    <row r="100" spans="1:5">
      <c r="A100">
        <v>-8563288.6760240197</v>
      </c>
      <c r="B100">
        <v>4786037.8872119999</v>
      </c>
      <c r="C100" t="s">
        <v>467</v>
      </c>
      <c r="D100" t="s">
        <v>468</v>
      </c>
      <c r="E100" t="s">
        <v>469</v>
      </c>
    </row>
    <row r="101" spans="1:5">
      <c r="A101">
        <v>-8587230.4928674009</v>
      </c>
      <c r="B101">
        <v>4751352.7089936202</v>
      </c>
      <c r="C101" t="s">
        <v>240</v>
      </c>
      <c r="D101" t="s">
        <v>241</v>
      </c>
      <c r="E101" t="s">
        <v>242</v>
      </c>
    </row>
    <row r="102" spans="1:5">
      <c r="A102">
        <v>-8361990.3643992404</v>
      </c>
      <c r="B102">
        <v>4637876.5937721301</v>
      </c>
      <c r="C102" t="s">
        <v>443</v>
      </c>
      <c r="D102" t="s">
        <v>444</v>
      </c>
      <c r="E102" t="s">
        <v>445</v>
      </c>
    </row>
    <row r="103" spans="1:5">
      <c r="A103">
        <v>-8535285.2562395595</v>
      </c>
      <c r="B103">
        <v>4770272.2668302096</v>
      </c>
      <c r="C103" t="s">
        <v>265</v>
      </c>
      <c r="D103" t="s">
        <v>266</v>
      </c>
      <c r="E103" t="s">
        <v>267</v>
      </c>
    </row>
    <row r="104" spans="1:5">
      <c r="A104">
        <v>-8532200.9827678893</v>
      </c>
      <c r="B104">
        <v>4791722.22262605</v>
      </c>
      <c r="C104" t="s">
        <v>21</v>
      </c>
      <c r="D104" t="s">
        <v>22</v>
      </c>
      <c r="E104" t="s">
        <v>23</v>
      </c>
    </row>
    <row r="105" spans="1:5">
      <c r="A105">
        <v>-8595065.65956714</v>
      </c>
      <c r="B105">
        <v>4630794.1757140597</v>
      </c>
      <c r="C105" t="s">
        <v>572</v>
      </c>
      <c r="D105" t="s">
        <v>573</v>
      </c>
      <c r="E105" t="s">
        <v>574</v>
      </c>
    </row>
    <row r="106" spans="1:5">
      <c r="A106">
        <v>-8579060.1988406293</v>
      </c>
      <c r="B106">
        <v>4771868.3167340001</v>
      </c>
      <c r="C106" t="s">
        <v>343</v>
      </c>
      <c r="D106" t="s">
        <v>344</v>
      </c>
      <c r="E106" t="s">
        <v>345</v>
      </c>
    </row>
    <row r="107" spans="1:5">
      <c r="A107">
        <v>-8564231.9417292606</v>
      </c>
      <c r="B107">
        <v>4743384.7426689304</v>
      </c>
      <c r="C107" t="s">
        <v>203</v>
      </c>
      <c r="D107" t="s">
        <v>204</v>
      </c>
      <c r="E107" t="s">
        <v>205</v>
      </c>
    </row>
    <row r="108" spans="1:5">
      <c r="A108">
        <v>-8652538.7438090593</v>
      </c>
      <c r="B108">
        <v>4819344.90280094</v>
      </c>
      <c r="C108" t="s">
        <v>102</v>
      </c>
      <c r="D108" t="s">
        <v>103</v>
      </c>
      <c r="E108" t="s">
        <v>104</v>
      </c>
    </row>
    <row r="109" spans="1:5">
      <c r="A109">
        <v>-8368970.1594454898</v>
      </c>
      <c r="B109">
        <v>4624039.4330753405</v>
      </c>
      <c r="C109" t="s">
        <v>36</v>
      </c>
      <c r="D109" t="s">
        <v>37</v>
      </c>
      <c r="E109" t="s">
        <v>38</v>
      </c>
    </row>
    <row r="110" spans="1:5">
      <c r="A110">
        <v>-8526819.3046678808</v>
      </c>
      <c r="B110">
        <v>4665962.8646433903</v>
      </c>
      <c r="C110" t="s">
        <v>422</v>
      </c>
      <c r="D110" t="s">
        <v>423</v>
      </c>
      <c r="E110" t="s">
        <v>424</v>
      </c>
    </row>
    <row r="111" spans="1:5">
      <c r="A111">
        <v>-8564310.5889494997</v>
      </c>
      <c r="B111">
        <v>4767838.5190268401</v>
      </c>
      <c r="C111" t="s">
        <v>524</v>
      </c>
      <c r="D111" t="s">
        <v>525</v>
      </c>
      <c r="E111" t="s">
        <v>526</v>
      </c>
    </row>
    <row r="112" spans="1:5">
      <c r="A112">
        <v>-8825494.1746158209</v>
      </c>
      <c r="B112">
        <v>4822098.3893053196</v>
      </c>
      <c r="C112" t="s">
        <v>95</v>
      </c>
      <c r="D112" t="s">
        <v>138</v>
      </c>
      <c r="E112" t="s">
        <v>96</v>
      </c>
    </row>
    <row r="113" spans="1:5">
      <c r="A113">
        <v>-8540659.8169148006</v>
      </c>
      <c r="B113">
        <v>4775531.6388555504</v>
      </c>
      <c r="C113" t="s">
        <v>200</v>
      </c>
      <c r="D113" t="s">
        <v>201</v>
      </c>
      <c r="E113" t="s">
        <v>202</v>
      </c>
    </row>
    <row r="114" spans="1:5">
      <c r="A114">
        <v>-8480836.5848096795</v>
      </c>
      <c r="B114">
        <v>4819909.1558381803</v>
      </c>
      <c r="C114" t="s">
        <v>105</v>
      </c>
      <c r="D114" t="s">
        <v>106</v>
      </c>
      <c r="E114" t="s">
        <v>107</v>
      </c>
    </row>
    <row r="115" spans="1:5">
      <c r="A115">
        <v>-8619747.86234379</v>
      </c>
      <c r="B115">
        <v>4806437.29125454</v>
      </c>
      <c r="C115" t="s">
        <v>62</v>
      </c>
      <c r="D115" t="s">
        <v>63</v>
      </c>
      <c r="E115" t="s">
        <v>64</v>
      </c>
    </row>
    <row r="116" spans="1:5">
      <c r="A116">
        <v>-8603621.6756295096</v>
      </c>
      <c r="B116">
        <v>4757088.6268972596</v>
      </c>
      <c r="C116" t="s">
        <v>12</v>
      </c>
      <c r="D116" t="s">
        <v>13</v>
      </c>
      <c r="E116" t="s">
        <v>14</v>
      </c>
    </row>
    <row r="117" spans="1:5">
      <c r="A117">
        <v>-8582319.2995725907</v>
      </c>
      <c r="B117">
        <v>4771842.4048109204</v>
      </c>
      <c r="C117" t="s">
        <v>346</v>
      </c>
      <c r="D117" t="s">
        <v>347</v>
      </c>
      <c r="E117" t="s">
        <v>348</v>
      </c>
    </row>
    <row r="118" spans="1:5">
      <c r="A118">
        <v>-8501921.3020356894</v>
      </c>
      <c r="B118">
        <v>4788923.77747129</v>
      </c>
      <c r="C118" t="s">
        <v>431</v>
      </c>
      <c r="D118" t="s">
        <v>432</v>
      </c>
      <c r="E118" t="s">
        <v>433</v>
      </c>
    </row>
    <row r="119" spans="1:5">
      <c r="A119">
        <v>-8614060.2156006899</v>
      </c>
      <c r="B119">
        <v>4766830.9979407704</v>
      </c>
      <c r="C119" t="s">
        <v>531</v>
      </c>
      <c r="D119" t="s">
        <v>532</v>
      </c>
      <c r="E119" t="s">
        <v>533</v>
      </c>
    </row>
    <row r="120" spans="1:5">
      <c r="A120">
        <v>-8466896.2383901998</v>
      </c>
      <c r="B120">
        <v>4693675.4401140697</v>
      </c>
      <c r="C120" t="s">
        <v>292</v>
      </c>
      <c r="D120" t="s">
        <v>293</v>
      </c>
      <c r="E120" t="s">
        <v>294</v>
      </c>
    </row>
    <row r="121" spans="1:5">
      <c r="A121">
        <v>-8362030.4394159196</v>
      </c>
      <c r="B121">
        <v>4625734.2788870204</v>
      </c>
      <c r="C121" t="s">
        <v>229</v>
      </c>
      <c r="D121" t="s">
        <v>564</v>
      </c>
      <c r="E121" t="s">
        <v>230</v>
      </c>
    </row>
    <row r="122" spans="1:5">
      <c r="A122">
        <v>-8490987.8356084395</v>
      </c>
      <c r="B122">
        <v>4801872.4891688302</v>
      </c>
      <c r="C122" t="s">
        <v>449</v>
      </c>
      <c r="D122" t="s">
        <v>450</v>
      </c>
      <c r="E122" t="s">
        <v>451</v>
      </c>
    </row>
    <row r="123" spans="1:5">
      <c r="A123">
        <v>-8577473.0346513707</v>
      </c>
      <c r="B123">
        <v>4758774.5375528196</v>
      </c>
      <c r="C123" t="s">
        <v>416</v>
      </c>
      <c r="D123" t="s">
        <v>417</v>
      </c>
      <c r="E123" t="s">
        <v>418</v>
      </c>
    </row>
    <row r="124" spans="1:5">
      <c r="A124">
        <v>-8633851.2625908591</v>
      </c>
      <c r="B124">
        <v>4775212.8107264703</v>
      </c>
      <c r="C124" t="s">
        <v>212</v>
      </c>
      <c r="D124" t="s">
        <v>213</v>
      </c>
      <c r="E124" t="s">
        <v>214</v>
      </c>
    </row>
    <row r="125" spans="1:5">
      <c r="A125">
        <v>-8366881.5201857099</v>
      </c>
      <c r="B125">
        <v>4628143.1996685397</v>
      </c>
      <c r="C125" t="s">
        <v>97</v>
      </c>
      <c r="D125" t="s">
        <v>144</v>
      </c>
      <c r="E125" t="s">
        <v>98</v>
      </c>
    </row>
    <row r="126" spans="1:5">
      <c r="A126">
        <v>-8529684.7726577502</v>
      </c>
      <c r="B126">
        <v>4801226.6701369397</v>
      </c>
      <c r="C126" t="s">
        <v>50</v>
      </c>
      <c r="D126" t="s">
        <v>51</v>
      </c>
      <c r="E126" t="s">
        <v>52</v>
      </c>
    </row>
    <row r="127" spans="1:5">
      <c r="A127">
        <v>-8536437.9139069691</v>
      </c>
      <c r="B127">
        <v>4705391.6489391997</v>
      </c>
      <c r="C127" t="s">
        <v>120</v>
      </c>
      <c r="D127" t="s">
        <v>137</v>
      </c>
      <c r="E127" t="s">
        <v>121</v>
      </c>
    </row>
    <row r="128" spans="1:5">
      <c r="A128">
        <v>-8554466.6620384008</v>
      </c>
      <c r="B128">
        <v>4796153.8258672403</v>
      </c>
      <c r="C128" t="s">
        <v>224</v>
      </c>
      <c r="D128" t="s">
        <v>570</v>
      </c>
      <c r="E128" t="s">
        <v>225</v>
      </c>
    </row>
    <row r="129" spans="1:5">
      <c r="A129">
        <v>-8564652.4365220591</v>
      </c>
      <c r="B129">
        <v>4757166.0182352597</v>
      </c>
      <c r="C129" t="s">
        <v>39</v>
      </c>
      <c r="D129" t="s">
        <v>40</v>
      </c>
      <c r="E129" t="s">
        <v>41</v>
      </c>
    </row>
    <row r="130" spans="1:5">
      <c r="A130">
        <v>-8425395.05204832</v>
      </c>
      <c r="B130">
        <v>4601069.5463866098</v>
      </c>
      <c r="C130" t="s">
        <v>312</v>
      </c>
      <c r="D130" t="s">
        <v>314</v>
      </c>
      <c r="E130" t="s">
        <v>313</v>
      </c>
    </row>
    <row r="131" spans="1:5">
      <c r="A131">
        <v>-8553981.7543365005</v>
      </c>
      <c r="B131">
        <v>4782841.5384144802</v>
      </c>
      <c r="C131" t="s">
        <v>15</v>
      </c>
      <c r="D131" t="s">
        <v>16</v>
      </c>
      <c r="E131" t="s">
        <v>17</v>
      </c>
    </row>
    <row r="132" spans="1:5">
      <c r="A132">
        <v>-8618548.6174694691</v>
      </c>
      <c r="B132">
        <v>4739305.6127696</v>
      </c>
      <c r="C132" t="s">
        <v>320</v>
      </c>
      <c r="D132" t="s">
        <v>575</v>
      </c>
      <c r="E132" t="s">
        <v>321</v>
      </c>
    </row>
    <row r="133" spans="1:5">
      <c r="A133">
        <v>-8435832.5901440792</v>
      </c>
      <c r="B133">
        <v>4630649.7917026496</v>
      </c>
      <c r="C133" t="s">
        <v>114</v>
      </c>
      <c r="D133" t="s">
        <v>133</v>
      </c>
      <c r="E133" t="s">
        <v>115</v>
      </c>
    </row>
    <row r="134" spans="1:5">
      <c r="A134">
        <v>-8468016.8360442705</v>
      </c>
      <c r="B134">
        <v>4710403.5895348396</v>
      </c>
      <c r="C134" t="s">
        <v>413</v>
      </c>
      <c r="D134" t="s">
        <v>414</v>
      </c>
      <c r="E134" t="s">
        <v>415</v>
      </c>
    </row>
    <row r="135" spans="1:5">
      <c r="A135">
        <v>-8525187.8548479192</v>
      </c>
      <c r="B135">
        <v>4655759.6810077904</v>
      </c>
      <c r="C135" t="s">
        <v>401</v>
      </c>
      <c r="D135" t="s">
        <v>402</v>
      </c>
      <c r="E135" t="s">
        <v>403</v>
      </c>
    </row>
    <row r="136" spans="1:5">
      <c r="A136">
        <v>-8523289.3009324409</v>
      </c>
      <c r="B136">
        <v>4653829.6107914401</v>
      </c>
      <c r="C136" t="s">
        <v>404</v>
      </c>
      <c r="D136" t="s">
        <v>405</v>
      </c>
      <c r="E136" t="s">
        <v>406</v>
      </c>
    </row>
    <row r="137" spans="1:5">
      <c r="A137">
        <v>-8638115.24436621</v>
      </c>
      <c r="B137">
        <v>4786725.5465431297</v>
      </c>
      <c r="C137" t="s">
        <v>148</v>
      </c>
      <c r="D137" t="s">
        <v>149</v>
      </c>
      <c r="E137" t="s">
        <v>150</v>
      </c>
    </row>
    <row r="138" spans="1:5">
      <c r="A138">
        <v>-8532924.8377567809</v>
      </c>
      <c r="B138">
        <v>4684104.61130038</v>
      </c>
      <c r="C138" t="s">
        <v>407</v>
      </c>
      <c r="D138" t="s">
        <v>408</v>
      </c>
      <c r="E138" t="s">
        <v>409</v>
      </c>
    </row>
    <row r="139" spans="1:5">
      <c r="A139">
        <v>-8534785.5757574998</v>
      </c>
      <c r="B139">
        <v>4708604.0657872204</v>
      </c>
      <c r="C139" t="s">
        <v>476</v>
      </c>
      <c r="D139" t="s">
        <v>477</v>
      </c>
      <c r="E139" t="s">
        <v>478</v>
      </c>
    </row>
    <row r="140" spans="1:5">
      <c r="A140">
        <v>-8366899.5539432196</v>
      </c>
      <c r="B140">
        <v>4628163.6383143803</v>
      </c>
      <c r="C140" t="s">
        <v>503</v>
      </c>
      <c r="D140" t="s">
        <v>504</v>
      </c>
      <c r="E140" t="s">
        <v>505</v>
      </c>
    </row>
    <row r="141" spans="1:5">
      <c r="A141">
        <v>-8562785.2336269096</v>
      </c>
      <c r="B141">
        <v>4803283.8201671802</v>
      </c>
      <c r="C141" t="s">
        <v>65</v>
      </c>
      <c r="D141" t="s">
        <v>66</v>
      </c>
      <c r="E141" t="s">
        <v>67</v>
      </c>
    </row>
    <row r="142" spans="1:5">
      <c r="A142">
        <v>-8369009.8143330002</v>
      </c>
      <c r="B142">
        <v>4635916.0737651</v>
      </c>
      <c r="C142" t="s">
        <v>509</v>
      </c>
      <c r="D142" t="s">
        <v>510</v>
      </c>
      <c r="E142" t="s">
        <v>511</v>
      </c>
    </row>
    <row r="143" spans="1:5">
      <c r="A143">
        <v>-8550058.9111407008</v>
      </c>
      <c r="B143">
        <v>4822015.1459379299</v>
      </c>
      <c r="C143" t="s">
        <v>539</v>
      </c>
      <c r="D143" t="s">
        <v>540</v>
      </c>
      <c r="E143" t="s">
        <v>541</v>
      </c>
    </row>
    <row r="144" spans="1:5">
      <c r="A144">
        <v>-8364515.6661086204</v>
      </c>
      <c r="B144">
        <v>4638679.20694777</v>
      </c>
      <c r="C144" t="s">
        <v>328</v>
      </c>
      <c r="D144" t="s">
        <v>329</v>
      </c>
      <c r="E144" t="s">
        <v>330</v>
      </c>
    </row>
    <row r="145" spans="1:5">
      <c r="A145">
        <v>-8561566.9531196691</v>
      </c>
      <c r="B145">
        <v>4756891.9867577096</v>
      </c>
      <c r="C145" t="s">
        <v>68</v>
      </c>
      <c r="D145" t="s">
        <v>69</v>
      </c>
      <c r="E145" t="s">
        <v>70</v>
      </c>
    </row>
    <row r="146" spans="1:5">
      <c r="A146">
        <v>-8619805.9711179808</v>
      </c>
      <c r="B146">
        <v>4805160.7047193097</v>
      </c>
      <c r="C146" t="s">
        <v>274</v>
      </c>
      <c r="D146" t="s">
        <v>275</v>
      </c>
      <c r="E146" t="s">
        <v>276</v>
      </c>
    </row>
    <row r="147" spans="1:5">
      <c r="A147">
        <v>-8570281.2654979508</v>
      </c>
      <c r="B147">
        <v>4803240.93148816</v>
      </c>
      <c r="C147" t="s">
        <v>59</v>
      </c>
      <c r="D147" t="s">
        <v>60</v>
      </c>
      <c r="E147" t="s">
        <v>61</v>
      </c>
    </row>
    <row r="148" spans="1:5">
      <c r="A148">
        <v>-8410072.3694185894</v>
      </c>
      <c r="B148">
        <v>4634812.1871046703</v>
      </c>
      <c r="C148" t="s">
        <v>33</v>
      </c>
      <c r="D148" t="s">
        <v>34</v>
      </c>
      <c r="E148" t="s">
        <v>35</v>
      </c>
    </row>
    <row r="149" spans="1:5">
      <c r="A149">
        <v>-8454665.3432977591</v>
      </c>
      <c r="B149">
        <v>4793542.4097825401</v>
      </c>
      <c r="C149" t="s">
        <v>340</v>
      </c>
      <c r="D149" t="s">
        <v>341</v>
      </c>
      <c r="E149" t="s">
        <v>342</v>
      </c>
    </row>
    <row r="150" spans="1:5">
      <c r="A150">
        <v>-8558715.1147447806</v>
      </c>
      <c r="B150">
        <v>4792619.29212749</v>
      </c>
      <c r="C150" t="s">
        <v>83</v>
      </c>
      <c r="D150" t="s">
        <v>84</v>
      </c>
      <c r="E150" t="s">
        <v>85</v>
      </c>
    </row>
    <row r="151" spans="1:5">
      <c r="A151">
        <v>-8514048.0020847395</v>
      </c>
      <c r="B151">
        <v>4720953.0990853496</v>
      </c>
      <c r="C151" t="s">
        <v>371</v>
      </c>
      <c r="D151" t="s">
        <v>372</v>
      </c>
      <c r="E151" t="s">
        <v>373</v>
      </c>
    </row>
    <row r="152" spans="1:5">
      <c r="A152">
        <v>-8533417.2595243007</v>
      </c>
      <c r="B152">
        <v>4681102.0875631096</v>
      </c>
      <c r="C152" t="s">
        <v>398</v>
      </c>
      <c r="D152" t="s">
        <v>399</v>
      </c>
      <c r="E152" t="s">
        <v>400</v>
      </c>
    </row>
    <row r="153" spans="1:5">
      <c r="A153">
        <v>-8521975.8422605693</v>
      </c>
      <c r="B153">
        <v>4705656.7962676901</v>
      </c>
      <c r="C153" t="s">
        <v>99</v>
      </c>
      <c r="D153" t="s">
        <v>100</v>
      </c>
      <c r="E153" t="s">
        <v>101</v>
      </c>
    </row>
    <row r="154" spans="1:5">
      <c r="A154">
        <v>-8510072.0594918299</v>
      </c>
      <c r="B154">
        <v>4633463.7288214201</v>
      </c>
      <c r="C154" t="s">
        <v>425</v>
      </c>
      <c r="D154" t="s">
        <v>426</v>
      </c>
      <c r="E154" t="s">
        <v>427</v>
      </c>
    </row>
    <row r="155" spans="1:5">
      <c r="A155">
        <v>-8547879.8321084194</v>
      </c>
      <c r="B155">
        <v>4654849.0318748401</v>
      </c>
      <c r="C155" t="s">
        <v>92</v>
      </c>
      <c r="D155" t="s">
        <v>93</v>
      </c>
      <c r="E155" t="s">
        <v>94</v>
      </c>
    </row>
    <row r="156" spans="1:5">
      <c r="A156">
        <v>-8520978.9762205109</v>
      </c>
      <c r="B156">
        <v>4721065.2497871397</v>
      </c>
      <c r="C156" t="s">
        <v>325</v>
      </c>
      <c r="D156" t="s">
        <v>326</v>
      </c>
      <c r="E156" t="s">
        <v>327</v>
      </c>
    </row>
    <row r="157" spans="1:5">
      <c r="A157">
        <v>-8513652.7622326799</v>
      </c>
      <c r="B157">
        <v>4757756.1970366295</v>
      </c>
      <c r="C157" t="s">
        <v>551</v>
      </c>
      <c r="D157" t="s">
        <v>552</v>
      </c>
      <c r="E157" t="s">
        <v>553</v>
      </c>
    </row>
    <row r="158" spans="1:5">
      <c r="A158">
        <v>-8536266.5835686605</v>
      </c>
      <c r="B158">
        <v>4617715.2966998303</v>
      </c>
      <c r="C158" t="s">
        <v>455</v>
      </c>
      <c r="D158" t="s">
        <v>456</v>
      </c>
      <c r="E158" t="s">
        <v>457</v>
      </c>
    </row>
    <row r="159" spans="1:5">
      <c r="A159">
        <v>-8421726.18427076</v>
      </c>
      <c r="B159">
        <v>4630363.5851449296</v>
      </c>
      <c r="C159" t="s">
        <v>237</v>
      </c>
      <c r="D159" t="s">
        <v>238</v>
      </c>
      <c r="E159" t="s">
        <v>239</v>
      </c>
    </row>
    <row r="160" spans="1:5">
      <c r="A160">
        <v>-8522608.5265864898</v>
      </c>
      <c r="B160">
        <v>4719419.2082844498</v>
      </c>
      <c r="C160" t="s">
        <v>27</v>
      </c>
      <c r="D160" t="s">
        <v>28</v>
      </c>
      <c r="E160" t="s">
        <v>29</v>
      </c>
    </row>
    <row r="161" spans="1:5">
      <c r="A161">
        <v>-8534138.6098246407</v>
      </c>
      <c r="B161">
        <v>4730314.8649392398</v>
      </c>
      <c r="C161" t="s">
        <v>80</v>
      </c>
      <c r="D161" t="s">
        <v>81</v>
      </c>
      <c r="E161" t="s">
        <v>82</v>
      </c>
    </row>
    <row r="162" spans="1:5">
      <c r="A162">
        <v>-8416070.59754101</v>
      </c>
      <c r="B162">
        <v>4591015.72348685</v>
      </c>
      <c r="C162" t="s">
        <v>243</v>
      </c>
      <c r="D162" t="s">
        <v>244</v>
      </c>
      <c r="E162" t="s">
        <v>245</v>
      </c>
    </row>
    <row r="163" spans="1:5">
      <c r="A163">
        <v>-8463462.8113356605</v>
      </c>
      <c r="B163">
        <v>4695983.3969896697</v>
      </c>
      <c r="C163" t="s">
        <v>452</v>
      </c>
      <c r="D163" t="s">
        <v>453</v>
      </c>
      <c r="E163" t="s">
        <v>454</v>
      </c>
    </row>
    <row r="164" spans="1:5">
      <c r="A164">
        <v>-8422920.7036767807</v>
      </c>
      <c r="B164">
        <v>4626823.1604669001</v>
      </c>
      <c r="C164" t="s">
        <v>500</v>
      </c>
      <c r="D164" t="s">
        <v>501</v>
      </c>
      <c r="E164" t="s">
        <v>502</v>
      </c>
    </row>
    <row r="165" spans="1:5">
      <c r="A165">
        <v>-8491239.3063381501</v>
      </c>
      <c r="B165">
        <v>4801876.3875992903</v>
      </c>
      <c r="C165" t="s">
        <v>176</v>
      </c>
      <c r="D165" t="s">
        <v>177</v>
      </c>
      <c r="E165" t="s">
        <v>178</v>
      </c>
    </row>
    <row r="166" spans="1:5">
      <c r="A166">
        <v>-8365219.4088686798</v>
      </c>
      <c r="B166">
        <v>4622347.9276850596</v>
      </c>
      <c r="C166" t="s">
        <v>355</v>
      </c>
      <c r="D166" t="s">
        <v>356</v>
      </c>
      <c r="E166" t="s">
        <v>357</v>
      </c>
    </row>
    <row r="167" spans="1:5">
      <c r="A167">
        <v>-8592518.8922567703</v>
      </c>
      <c r="B167">
        <v>4791397.6875781696</v>
      </c>
      <c r="C167" t="s">
        <v>392</v>
      </c>
      <c r="D167" t="s">
        <v>393</v>
      </c>
      <c r="E167" t="s">
        <v>394</v>
      </c>
    </row>
    <row r="168" spans="1:5">
      <c r="A168">
        <v>-8577473.0346513707</v>
      </c>
      <c r="B168">
        <v>4758774.5375528196</v>
      </c>
      <c r="C168" t="s">
        <v>515</v>
      </c>
      <c r="D168" t="s">
        <v>516</v>
      </c>
      <c r="E168" t="s">
        <v>517</v>
      </c>
    </row>
    <row r="169" spans="1:5">
      <c r="A169">
        <v>-8560698.8280707207</v>
      </c>
      <c r="B169">
        <v>4794540.92666132</v>
      </c>
      <c r="C169" t="s">
        <v>122</v>
      </c>
      <c r="D169" t="s">
        <v>136</v>
      </c>
      <c r="E169" t="s">
        <v>123</v>
      </c>
    </row>
    <row r="170" spans="1:5">
      <c r="A170">
        <v>-8492277.7705093995</v>
      </c>
      <c r="B170">
        <v>4802707.2053908398</v>
      </c>
      <c r="C170" t="s">
        <v>527</v>
      </c>
      <c r="D170" t="s">
        <v>568</v>
      </c>
      <c r="E170" t="s">
        <v>528</v>
      </c>
    </row>
    <row r="171" spans="1:5">
      <c r="A171">
        <v>-8512602.7967955191</v>
      </c>
      <c r="B171">
        <v>4753954.4844108196</v>
      </c>
      <c r="C171" t="s">
        <v>126</v>
      </c>
      <c r="D171" t="s">
        <v>127</v>
      </c>
      <c r="E171" t="s">
        <v>128</v>
      </c>
    </row>
    <row r="172" spans="1:5">
      <c r="A172">
        <v>-8465765.1210442502</v>
      </c>
      <c r="B172">
        <v>4675020.1273151003</v>
      </c>
      <c r="C172" t="s">
        <v>548</v>
      </c>
      <c r="D172" t="s">
        <v>549</v>
      </c>
      <c r="E172" t="s">
        <v>550</v>
      </c>
    </row>
    <row r="173" spans="1:5">
      <c r="A173">
        <v>-8569334.4932287503</v>
      </c>
      <c r="B173">
        <v>4759895.0479443902</v>
      </c>
      <c r="C173" t="s">
        <v>529</v>
      </c>
      <c r="D173" t="s">
        <v>576</v>
      </c>
      <c r="E173" t="s">
        <v>530</v>
      </c>
    </row>
    <row r="174" spans="1:5">
      <c r="A174">
        <v>-8456210.7361287009</v>
      </c>
      <c r="B174">
        <v>4641908.8902783804</v>
      </c>
      <c r="C174" t="s">
        <v>464</v>
      </c>
      <c r="D174" t="s">
        <v>465</v>
      </c>
      <c r="E174" t="s">
        <v>466</v>
      </c>
    </row>
    <row r="175" spans="1:5">
      <c r="A175">
        <v>-8425175.7726565506</v>
      </c>
      <c r="B175">
        <v>4609565.6420293404</v>
      </c>
      <c r="C175" t="s">
        <v>310</v>
      </c>
      <c r="D175" t="s">
        <v>563</v>
      </c>
      <c r="E175" t="s">
        <v>311</v>
      </c>
    </row>
    <row r="176" spans="1:5">
      <c r="A176">
        <v>-8514454.7635040991</v>
      </c>
      <c r="B176">
        <v>4639091.3593601696</v>
      </c>
      <c r="C176" t="s">
        <v>386</v>
      </c>
      <c r="D176" t="s">
        <v>387</v>
      </c>
      <c r="E176" t="s">
        <v>388</v>
      </c>
    </row>
    <row r="177" spans="1:5">
      <c r="A177">
        <v>-8566965.5588049199</v>
      </c>
      <c r="B177">
        <v>4765635.8305495102</v>
      </c>
      <c r="C177" t="s">
        <v>479</v>
      </c>
      <c r="D177" t="s">
        <v>480</v>
      </c>
      <c r="E177" t="s">
        <v>481</v>
      </c>
    </row>
    <row r="178" spans="1:5">
      <c r="A178">
        <v>-8648213.1466955598</v>
      </c>
      <c r="B178">
        <v>4807803.7572633699</v>
      </c>
      <c r="C178" t="s">
        <v>179</v>
      </c>
      <c r="D178" t="s">
        <v>180</v>
      </c>
      <c r="E178" t="s">
        <v>181</v>
      </c>
    </row>
    <row r="179" spans="1:5">
      <c r="A179">
        <v>-8444463.7468627393</v>
      </c>
      <c r="B179">
        <v>4818117.42934669</v>
      </c>
      <c r="C179" t="s">
        <v>280</v>
      </c>
      <c r="D179" t="s">
        <v>281</v>
      </c>
      <c r="E179" t="s">
        <v>282</v>
      </c>
    </row>
    <row r="180" spans="1:5">
      <c r="A180">
        <v>-8565404.1985661108</v>
      </c>
      <c r="B180">
        <v>4754942.5014122101</v>
      </c>
      <c r="C180" t="s">
        <v>377</v>
      </c>
      <c r="D180" t="s">
        <v>378</v>
      </c>
      <c r="E180" t="s">
        <v>379</v>
      </c>
    </row>
    <row r="181" spans="1:5">
      <c r="A181">
        <v>-8564500.9913588595</v>
      </c>
      <c r="B181">
        <v>4754116.66493575</v>
      </c>
      <c r="C181" t="s">
        <v>374</v>
      </c>
      <c r="D181" t="s">
        <v>375</v>
      </c>
      <c r="E181" t="s">
        <v>376</v>
      </c>
    </row>
    <row r="182" spans="1:5">
      <c r="A182">
        <v>-8588074.5729063395</v>
      </c>
      <c r="B182">
        <v>4736156.3280850202</v>
      </c>
      <c r="C182" t="s">
        <v>289</v>
      </c>
      <c r="D182" t="s">
        <v>290</v>
      </c>
      <c r="E182" t="s">
        <v>291</v>
      </c>
    </row>
    <row r="183" spans="1:5">
      <c r="A183">
        <v>-8491246.8204037696</v>
      </c>
      <c r="B183">
        <v>4801638.58611794</v>
      </c>
      <c r="C183" t="s">
        <v>560</v>
      </c>
      <c r="D183" t="s">
        <v>561</v>
      </c>
      <c r="E183" t="s">
        <v>562</v>
      </c>
    </row>
    <row r="184" spans="1:5">
      <c r="A184">
        <v>-8469425.4728807695</v>
      </c>
      <c r="B184">
        <v>4817676.2005526396</v>
      </c>
      <c r="C184" t="s">
        <v>337</v>
      </c>
      <c r="D184" t="s">
        <v>338</v>
      </c>
      <c r="E184" t="s">
        <v>339</v>
      </c>
    </row>
    <row r="185" spans="1:5">
      <c r="A185">
        <v>-8520872.7774263006</v>
      </c>
      <c r="B185">
        <v>4699888.1863275301</v>
      </c>
      <c r="C185" t="s">
        <v>161</v>
      </c>
      <c r="D185" t="s">
        <v>162</v>
      </c>
      <c r="E185" t="s">
        <v>163</v>
      </c>
    </row>
    <row r="186" spans="1:5">
      <c r="A186">
        <v>-8574915.4402399193</v>
      </c>
      <c r="B186">
        <v>4765681.1485019298</v>
      </c>
      <c r="C186" t="s">
        <v>110</v>
      </c>
      <c r="D186" t="s">
        <v>142</v>
      </c>
      <c r="E186" t="s">
        <v>111</v>
      </c>
    </row>
    <row r="187" spans="1:5">
      <c r="A187">
        <v>-8528948.8951638602</v>
      </c>
      <c r="B187">
        <v>4821396.66920189</v>
      </c>
      <c r="C187" t="s">
        <v>71</v>
      </c>
      <c r="D187" t="s">
        <v>72</v>
      </c>
      <c r="E187" t="s">
        <v>73</v>
      </c>
    </row>
    <row r="188" spans="1:5">
      <c r="A188">
        <v>-8554585.3842753302</v>
      </c>
      <c r="B188">
        <v>4633297.5803348999</v>
      </c>
      <c r="C188" t="s">
        <v>380</v>
      </c>
      <c r="D188" t="s">
        <v>381</v>
      </c>
      <c r="E188" t="s">
        <v>382</v>
      </c>
    </row>
    <row r="189" spans="1:5">
      <c r="A189">
        <v>-8527671.3931351509</v>
      </c>
      <c r="B189">
        <v>4662155.9964033002</v>
      </c>
      <c r="C189" t="s">
        <v>277</v>
      </c>
      <c r="D189" t="s">
        <v>278</v>
      </c>
      <c r="E189" t="s">
        <v>279</v>
      </c>
    </row>
    <row r="190" spans="1:5">
      <c r="A190">
        <v>-8375226.7885007504</v>
      </c>
      <c r="B190">
        <v>4618802.2416541101</v>
      </c>
      <c r="C190" t="s">
        <v>389</v>
      </c>
      <c r="D190" t="s">
        <v>390</v>
      </c>
      <c r="E190" t="s">
        <v>391</v>
      </c>
    </row>
    <row r="191" spans="1:5">
      <c r="A191">
        <v>-8618653.3134505693</v>
      </c>
      <c r="B191">
        <v>4773318.1951873302</v>
      </c>
      <c r="C191" t="s">
        <v>218</v>
      </c>
      <c r="D191" t="s">
        <v>219</v>
      </c>
      <c r="E191" t="s">
        <v>220</v>
      </c>
    </row>
    <row r="192" spans="1:5">
      <c r="A192">
        <v>-8509092.7262715697</v>
      </c>
      <c r="B192">
        <v>4797922.8591596298</v>
      </c>
      <c r="C192" t="s">
        <v>30</v>
      </c>
      <c r="D192" t="s">
        <v>31</v>
      </c>
      <c r="E192" t="s">
        <v>32</v>
      </c>
    </row>
    <row r="193" spans="1:5">
      <c r="A193">
        <v>-8447341.1899999995</v>
      </c>
      <c r="B193">
        <v>4721822.97</v>
      </c>
      <c r="C193" t="s">
        <v>580</v>
      </c>
      <c r="D193" t="s">
        <v>579</v>
      </c>
      <c r="E193" t="s">
        <v>578</v>
      </c>
    </row>
    <row r="194" spans="1:5">
      <c r="A194">
        <v>-8378670.5300000003</v>
      </c>
      <c r="B194">
        <v>4630415.4000000004</v>
      </c>
      <c r="C194" t="s">
        <v>581</v>
      </c>
      <c r="D194" t="s">
        <v>623</v>
      </c>
      <c r="E194" t="s">
        <v>604</v>
      </c>
    </row>
    <row r="195" spans="1:5">
      <c r="A195">
        <v>-8522308.9700000007</v>
      </c>
      <c r="B195">
        <v>4789946.5</v>
      </c>
      <c r="C195" t="s">
        <v>582</v>
      </c>
      <c r="D195" t="s">
        <v>624</v>
      </c>
      <c r="E195" t="s">
        <v>605</v>
      </c>
    </row>
    <row r="196" spans="1:5">
      <c r="A196">
        <v>-8533703.5199999996</v>
      </c>
      <c r="B196">
        <v>4807886.1100000003</v>
      </c>
      <c r="C196" t="s">
        <v>583</v>
      </c>
      <c r="D196" t="s">
        <v>625</v>
      </c>
      <c r="E196" t="s">
        <v>606</v>
      </c>
    </row>
    <row r="197" spans="1:5">
      <c r="A197">
        <v>-8548580.9199999999</v>
      </c>
      <c r="B197">
        <v>4662920.47</v>
      </c>
      <c r="C197" t="s">
        <v>584</v>
      </c>
      <c r="D197" t="s">
        <v>626</v>
      </c>
      <c r="E197" t="s">
        <v>607</v>
      </c>
    </row>
    <row r="198" spans="1:5">
      <c r="A198">
        <v>-8496435.4199999999</v>
      </c>
      <c r="B198">
        <v>4719513.7300000004</v>
      </c>
      <c r="C198" t="s">
        <v>585</v>
      </c>
      <c r="D198" t="s">
        <v>627</v>
      </c>
      <c r="E198" t="s">
        <v>608</v>
      </c>
    </row>
    <row r="199" spans="1:5">
      <c r="A199">
        <v>-8541917.6699999999</v>
      </c>
      <c r="B199">
        <v>4699727.82</v>
      </c>
      <c r="C199" t="s">
        <v>586</v>
      </c>
      <c r="D199" t="s">
        <v>628</v>
      </c>
      <c r="E199" t="s">
        <v>609</v>
      </c>
    </row>
    <row r="200" spans="1:5">
      <c r="A200">
        <v>-8486872.5199999996</v>
      </c>
      <c r="B200">
        <v>4799084.49</v>
      </c>
      <c r="C200" t="s">
        <v>587</v>
      </c>
      <c r="D200" t="s">
        <v>629</v>
      </c>
      <c r="E200" t="s">
        <v>610</v>
      </c>
    </row>
    <row r="201" spans="1:5">
      <c r="A201">
        <v>-8522359.0600000005</v>
      </c>
      <c r="B201">
        <v>4795748.92</v>
      </c>
      <c r="C201" t="s">
        <v>588</v>
      </c>
      <c r="D201" s="1" t="s">
        <v>630</v>
      </c>
      <c r="E201" t="s">
        <v>611</v>
      </c>
    </row>
    <row r="202" spans="1:5">
      <c r="A202">
        <v>-8508505.6799999997</v>
      </c>
      <c r="B202">
        <v>4736430.8899999997</v>
      </c>
      <c r="C202" t="s">
        <v>589</v>
      </c>
      <c r="D202" t="s">
        <v>631</v>
      </c>
      <c r="E202" s="1" t="s">
        <v>612</v>
      </c>
    </row>
    <row r="203" spans="1:5">
      <c r="A203">
        <v>-8590316.5999999996</v>
      </c>
      <c r="B203">
        <v>4645282.08</v>
      </c>
      <c r="C203" t="s">
        <v>590</v>
      </c>
      <c r="D203" t="s">
        <v>632</v>
      </c>
      <c r="E203" t="s">
        <v>613</v>
      </c>
    </row>
    <row r="204" spans="1:5">
      <c r="A204">
        <v>-8400542.1400000006</v>
      </c>
      <c r="B204">
        <v>4599487.99</v>
      </c>
      <c r="C204" t="s">
        <v>591</v>
      </c>
      <c r="D204" t="s">
        <v>633</v>
      </c>
      <c r="E204" t="s">
        <v>614</v>
      </c>
    </row>
    <row r="205" spans="1:5">
      <c r="A205">
        <v>-8399768.1400000006</v>
      </c>
      <c r="B205">
        <v>4635545.78</v>
      </c>
      <c r="C205" t="s">
        <v>592</v>
      </c>
      <c r="D205" t="s">
        <v>634</v>
      </c>
      <c r="E205" t="s">
        <v>615</v>
      </c>
    </row>
    <row r="206" spans="1:5">
      <c r="A206">
        <v>-8479107.6500000004</v>
      </c>
      <c r="B206">
        <v>4720534.3</v>
      </c>
      <c r="C206" t="s">
        <v>593</v>
      </c>
      <c r="D206" t="s">
        <v>635</v>
      </c>
      <c r="E206" t="s">
        <v>616</v>
      </c>
    </row>
    <row r="207" spans="1:5">
      <c r="A207">
        <v>-8490907.6300000008</v>
      </c>
      <c r="B207">
        <v>4656687.0599999996</v>
      </c>
      <c r="C207" t="s">
        <v>594</v>
      </c>
      <c r="D207" t="s">
        <v>636</v>
      </c>
      <c r="E207" t="s">
        <v>617</v>
      </c>
    </row>
    <row r="208" spans="1:5">
      <c r="A208">
        <v>-8452266.0700000003</v>
      </c>
      <c r="B208">
        <v>4777699.4800000004</v>
      </c>
      <c r="C208" t="s">
        <v>595</v>
      </c>
      <c r="D208" t="s">
        <v>637</v>
      </c>
      <c r="E208" t="s">
        <v>618</v>
      </c>
    </row>
    <row r="209" spans="1:5">
      <c r="A209">
        <v>-8427981.2799999993</v>
      </c>
      <c r="B209">
        <v>4669306.5999999996</v>
      </c>
      <c r="C209" t="s">
        <v>596</v>
      </c>
      <c r="D209" t="s">
        <v>638</v>
      </c>
      <c r="E209" t="s">
        <v>619</v>
      </c>
    </row>
    <row r="210" spans="1:5">
      <c r="A210">
        <v>-8563644.6799999997</v>
      </c>
      <c r="B210">
        <v>4778853.87</v>
      </c>
      <c r="C210" t="s">
        <v>597</v>
      </c>
      <c r="D210" s="2" t="s">
        <v>639</v>
      </c>
      <c r="E210" t="s">
        <v>620</v>
      </c>
    </row>
    <row r="211" spans="1:5">
      <c r="A211">
        <v>-8544449.9700000007</v>
      </c>
      <c r="B211">
        <v>4669494</v>
      </c>
      <c r="C211" t="s">
        <v>599</v>
      </c>
      <c r="D211" t="s">
        <v>640</v>
      </c>
      <c r="E211" t="s">
        <v>621</v>
      </c>
    </row>
    <row r="212" spans="1:5">
      <c r="A212">
        <v>-8556306.8300000001</v>
      </c>
      <c r="B212">
        <v>4661055.26</v>
      </c>
      <c r="C212" t="s">
        <v>600</v>
      </c>
      <c r="D212" s="2" t="s">
        <v>641</v>
      </c>
      <c r="E212" t="s">
        <v>622</v>
      </c>
    </row>
  </sheetData>
  <autoFilter ref="A1:E192" xr:uid="{00000000-0001-0000-0000-000000000000}">
    <sortState xmlns:xlrd2="http://schemas.microsoft.com/office/spreadsheetml/2017/richdata2" ref="A2:E192">
      <sortCondition ref="E1:E19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55E5-B0D6-44E6-86A8-574FFC88B36F}">
  <dimension ref="A1:D21"/>
  <sheetViews>
    <sheetView workbookViewId="0">
      <selection activeCell="F24" sqref="F24"/>
    </sheetView>
  </sheetViews>
  <sheetFormatPr defaultRowHeight="15"/>
  <sheetData>
    <row r="1" spans="1:4">
      <c r="A1" s="1" t="s">
        <v>954</v>
      </c>
      <c r="B1" s="1" t="s">
        <v>955</v>
      </c>
      <c r="C1" s="1" t="s">
        <v>956</v>
      </c>
      <c r="D1" s="1" t="s">
        <v>957</v>
      </c>
    </row>
    <row r="2" spans="1:4">
      <c r="A2" t="s">
        <v>733</v>
      </c>
      <c r="B2" t="s">
        <v>648</v>
      </c>
      <c r="C2" t="s">
        <v>958</v>
      </c>
    </row>
    <row r="3" spans="1:4">
      <c r="A3" t="s">
        <v>734</v>
      </c>
      <c r="B3" t="s">
        <v>735</v>
      </c>
      <c r="C3" t="s">
        <v>959</v>
      </c>
    </row>
    <row r="4" spans="1:4">
      <c r="A4" t="s">
        <v>775</v>
      </c>
      <c r="B4" t="s">
        <v>776</v>
      </c>
      <c r="C4" t="s">
        <v>960</v>
      </c>
    </row>
    <row r="5" spans="1:4">
      <c r="A5" t="s">
        <v>783</v>
      </c>
      <c r="B5" t="s">
        <v>784</v>
      </c>
      <c r="C5" t="s">
        <v>961</v>
      </c>
    </row>
    <row r="6" spans="1:4">
      <c r="A6" s="1" t="s">
        <v>962</v>
      </c>
      <c r="B6" t="s">
        <v>786</v>
      </c>
      <c r="C6" t="s">
        <v>963</v>
      </c>
    </row>
    <row r="7" spans="1:4">
      <c r="A7" t="s">
        <v>791</v>
      </c>
      <c r="B7" t="s">
        <v>792</v>
      </c>
      <c r="C7" t="s">
        <v>964</v>
      </c>
    </row>
    <row r="8" spans="1:4">
      <c r="A8" t="s">
        <v>802</v>
      </c>
      <c r="B8" t="s">
        <v>694</v>
      </c>
      <c r="C8" t="s">
        <v>965</v>
      </c>
    </row>
    <row r="9" spans="1:4">
      <c r="A9" s="1" t="s">
        <v>807</v>
      </c>
      <c r="B9" t="s">
        <v>735</v>
      </c>
      <c r="C9" t="s">
        <v>966</v>
      </c>
    </row>
    <row r="10" spans="1:4">
      <c r="A10" t="s">
        <v>819</v>
      </c>
      <c r="B10" t="s">
        <v>820</v>
      </c>
      <c r="C10" t="s">
        <v>967</v>
      </c>
    </row>
    <row r="11" spans="1:4">
      <c r="A11" t="s">
        <v>821</v>
      </c>
      <c r="B11" t="s">
        <v>799</v>
      </c>
      <c r="C11" t="s">
        <v>968</v>
      </c>
    </row>
    <row r="12" spans="1:4">
      <c r="A12" t="s">
        <v>827</v>
      </c>
      <c r="B12" t="s">
        <v>828</v>
      </c>
      <c r="C12" t="s">
        <v>969</v>
      </c>
    </row>
    <row r="13" spans="1:4">
      <c r="A13" s="1" t="s">
        <v>844</v>
      </c>
      <c r="B13" t="s">
        <v>845</v>
      </c>
      <c r="C13" t="s">
        <v>970</v>
      </c>
    </row>
    <row r="14" spans="1:4">
      <c r="A14" s="1" t="s">
        <v>953</v>
      </c>
      <c r="B14" t="s">
        <v>645</v>
      </c>
      <c r="C14" t="s">
        <v>971</v>
      </c>
    </row>
    <row r="15" spans="1:4">
      <c r="A15" s="1" t="s">
        <v>951</v>
      </c>
      <c r="B15" t="s">
        <v>686</v>
      </c>
      <c r="C15" t="s">
        <v>972</v>
      </c>
    </row>
    <row r="16" spans="1:4">
      <c r="A16" t="s">
        <v>860</v>
      </c>
      <c r="B16" t="s">
        <v>861</v>
      </c>
      <c r="C16" t="s">
        <v>973</v>
      </c>
    </row>
    <row r="17" spans="1:3">
      <c r="A17" s="1" t="s">
        <v>952</v>
      </c>
      <c r="B17" t="s">
        <v>864</v>
      </c>
      <c r="C17" t="s">
        <v>974</v>
      </c>
    </row>
    <row r="18" spans="1:3">
      <c r="A18" t="s">
        <v>896</v>
      </c>
      <c r="B18" t="s">
        <v>720</v>
      </c>
      <c r="C18" t="s">
        <v>975</v>
      </c>
    </row>
    <row r="19" spans="1:3">
      <c r="A19" t="s">
        <v>900</v>
      </c>
      <c r="B19" t="s">
        <v>754</v>
      </c>
      <c r="C19" t="s">
        <v>976</v>
      </c>
    </row>
    <row r="20" spans="1:3">
      <c r="A20" t="s">
        <v>947</v>
      </c>
      <c r="B20" t="s">
        <v>702</v>
      </c>
      <c r="C20" t="s">
        <v>977</v>
      </c>
    </row>
    <row r="21" spans="1:3">
      <c r="A21" s="1" t="s">
        <v>948</v>
      </c>
      <c r="B21" t="s">
        <v>784</v>
      </c>
      <c r="C21" t="s">
        <v>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F8A20-61D0-401D-ABDA-28F1622FD885}">
  <dimension ref="A1:C166"/>
  <sheetViews>
    <sheetView topLeftCell="A148" workbookViewId="0">
      <selection activeCell="A162" activeCellId="13" sqref="A44 A46 A68 A72:A73 A76 A82 A85 A90:A91 A95 A106 A112:A114 A116 A133 A162:A164"/>
    </sheetView>
  </sheetViews>
  <sheetFormatPr defaultRowHeight="15"/>
  <cols>
    <col min="1" max="1" width="11.5703125" bestFit="1" customWidth="1"/>
    <col min="2" max="2" width="51.28515625" customWidth="1"/>
  </cols>
  <sheetData>
    <row r="1" spans="1:3">
      <c r="A1" t="s">
        <v>601</v>
      </c>
      <c r="B1" t="s">
        <v>602</v>
      </c>
      <c r="C1" t="s">
        <v>603</v>
      </c>
    </row>
    <row r="2" spans="1:3">
      <c r="A2" t="s">
        <v>234</v>
      </c>
      <c r="B2" t="str">
        <f>_xlfn.XLOOKUP(A2,'Groundwater Discharge Permi'!C$2:C$193,'Groundwater Discharge Permi'!E$2:E$193, "NA")</f>
        <v>Bay Shore Campground</v>
      </c>
    </row>
    <row r="3" spans="1:3">
      <c r="A3" t="s">
        <v>506</v>
      </c>
      <c r="B3" t="str">
        <f>_xlfn.XLOOKUP(A3,'Groundwater Discharge Permi'!C$2:C$193,'Groundwater Discharge Permi'!E$2:E$193, "NA")</f>
        <v>Ashleigh Knolls Subdivision</v>
      </c>
    </row>
    <row r="4" spans="1:3">
      <c r="A4" t="s">
        <v>545</v>
      </c>
      <c r="B4" t="str">
        <f>_xlfn.XLOOKUP(A4,'Groundwater Discharge Permi'!C$2:C$193,'Groundwater Discharge Permi'!E$2:E$193, "NA")</f>
        <v>Aspen Institute</v>
      </c>
    </row>
    <row r="5" spans="1:3">
      <c r="A5" t="s">
        <v>461</v>
      </c>
      <c r="B5" t="str">
        <f>_xlfn.XLOOKUP(A5,'Groundwater Discharge Permi'!C$2:C$193,'Groundwater Discharge Permi'!E$2:E$193, "NA")</f>
        <v>Assateague Pointe Lagoon-WWTL</v>
      </c>
    </row>
    <row r="6" spans="1:3">
      <c r="A6" t="s">
        <v>271</v>
      </c>
      <c r="B6" t="str">
        <f>_xlfn.XLOOKUP(A6,'Groundwater Discharge Permi'!C$2:C$193,'Groundwater Discharge Permi'!E$2:E$193, "NA")</f>
        <v>A T &amp; T - Monrovia</v>
      </c>
    </row>
    <row r="7" spans="1:3">
      <c r="A7" t="s">
        <v>531</v>
      </c>
      <c r="B7" t="str">
        <f>_xlfn.XLOOKUP(A7,'Groundwater Discharge Permi'!C$2:C$193,'Groundwater Discharge Permi'!E$2:E$193, "NA")</f>
        <v>Mountainside Day Camp</v>
      </c>
    </row>
    <row r="8" spans="1:3">
      <c r="A8" t="s">
        <v>518</v>
      </c>
      <c r="B8" t="str">
        <f>_xlfn.XLOOKUP(A8,'Groundwater Discharge Permi'!C$2:C$193,'Groundwater Discharge Permi'!E$2:E$193, "NA")</f>
        <v>Beaver Run Mobile Home Park</v>
      </c>
    </row>
    <row r="9" spans="1:3">
      <c r="A9" t="s">
        <v>358</v>
      </c>
      <c r="B9" t="str">
        <f>_xlfn.XLOOKUP(A9,'Groundwater Discharge Permi'!C$2:C$193,'Groundwater Discharge Permi'!E$2:E$193, "NA")</f>
        <v>Berlin WWTP - Spray Irrigation Site</v>
      </c>
    </row>
    <row r="10" spans="1:3">
      <c r="A10" t="s">
        <v>249</v>
      </c>
      <c r="B10" t="str">
        <f>_xlfn.XLOOKUP(A10,'Groundwater Discharge Permi'!C$2:C$193,'Groundwater Discharge Permi'!E$2:E$193, "NA")</f>
        <v>Constellation Power - Notch Cliff</v>
      </c>
    </row>
    <row r="11" spans="1:3">
      <c r="A11" t="s">
        <v>283</v>
      </c>
      <c r="B11" t="str">
        <f>_xlfn.XLOOKUP(A11,'Groundwater Discharge Permi'!C$2:C$193,'Groundwater Discharge Permi'!E$2:E$193, "NA")</f>
        <v>Black Gold Farms</v>
      </c>
    </row>
    <row r="12" spans="1:3">
      <c r="A12" t="s">
        <v>334</v>
      </c>
      <c r="B12" t="str">
        <f>_xlfn.XLOOKUP(A12,'Groundwater Discharge Permi'!C$2:C$193,'Groundwater Discharge Permi'!E$2:E$193, "NA")</f>
        <v>Blue Mash Golf Course</v>
      </c>
    </row>
    <row r="13" spans="1:3">
      <c r="A13" t="s">
        <v>116</v>
      </c>
      <c r="B13" t="str">
        <f>_xlfn.XLOOKUP(A13,'Groundwater Discharge Permi'!C$2:C$193,'Groundwater Discharge Permi'!E$2:E$193, "NA")</f>
        <v>Bohemia Bay Yacht Harbor</v>
      </c>
    </row>
    <row r="14" spans="1:3">
      <c r="A14" t="s">
        <v>226</v>
      </c>
      <c r="B14" t="str">
        <f>_xlfn.XLOOKUP(A14,'Groundwater Discharge Permi'!C$2:C$193,'Groundwater Discharge Permi'!E$2:E$193, "NA")</f>
        <v>Boys School of Saint Paul's Parish</v>
      </c>
    </row>
    <row r="15" spans="1:3">
      <c r="A15" t="s">
        <v>7</v>
      </c>
      <c r="B15" t="str">
        <f>_xlfn.XLOOKUP(A15,'Groundwater Discharge Permi'!C$2:C$193,'Groundwater Discharge Permi'!E$2:E$193, "NA")</f>
        <v>Broad Creek Scout Reservation / Camp Saffran</v>
      </c>
    </row>
    <row r="16" spans="1:3">
      <c r="A16" t="s">
        <v>512</v>
      </c>
      <c r="B16" t="str">
        <f>_xlfn.XLOOKUP(A16,'Groundwater Discharge Permi'!C$2:C$193,'Groundwater Discharge Permi'!E$2:E$193, "NA")</f>
        <v>Bromwell's Adventure - Section I</v>
      </c>
    </row>
    <row r="17" spans="1:2">
      <c r="A17" t="s">
        <v>268</v>
      </c>
      <c r="B17" t="str">
        <f>_xlfn.XLOOKUP(A17,'Groundwater Discharge Permi'!C$2:C$193,'Groundwater Discharge Permi'!E$2:E$193, "NA")</f>
        <v>Browning Ferris Inc Solley Road Sanitary Landfill</v>
      </c>
    </row>
    <row r="18" spans="1:2">
      <c r="A18" t="s">
        <v>315</v>
      </c>
      <c r="B18" t="str">
        <f>_xlfn.XLOOKUP(A18,'Groundwater Discharge Permi'!C$2:C$193,'Groundwater Discharge Permi'!E$2:E$193, "NA")</f>
        <v>C &amp; C Car Wash</v>
      </c>
    </row>
    <row r="19" spans="1:2">
      <c r="A19" t="s">
        <v>47</v>
      </c>
      <c r="B19" t="str">
        <f>_xlfn.XLOOKUP(A19,'Groundwater Discharge Permi'!C$2:C$193,'Groundwater Discharge Permi'!E$2:E$193, "NA")</f>
        <v>Calhoon MEBA Engineering School</v>
      </c>
    </row>
    <row r="20" spans="1:2">
      <c r="A20" t="s">
        <v>112</v>
      </c>
      <c r="B20" t="str">
        <f>_xlfn.XLOOKUP(A20,'Groundwater Discharge Permi'!C$2:C$193,'Groundwater Discharge Permi'!E$2:E$193, "NA")</f>
        <v>Calvert Gateway WWTP and WTP</v>
      </c>
    </row>
    <row r="21" spans="1:2">
      <c r="A21" t="s">
        <v>521</v>
      </c>
      <c r="B21" t="str">
        <f>_xlfn.XLOOKUP(A21,'Groundwater Discharge Permi'!C$2:C$193,'Groundwater Discharge Permi'!E$2:E$193, "NA")</f>
        <v>Camelot Resedential Subdivision</v>
      </c>
    </row>
    <row r="22" spans="1:2">
      <c r="A22" t="s">
        <v>331</v>
      </c>
      <c r="B22" t="str">
        <f>_xlfn.XLOOKUP(A22,'Groundwater Discharge Permi'!C$2:C$193,'Groundwater Discharge Permi'!E$2:E$193, "NA")</f>
        <v>Camp Fretterd State Army and Command Center</v>
      </c>
    </row>
    <row r="23" spans="1:2">
      <c r="A23" t="s">
        <v>118</v>
      </c>
      <c r="B23" t="str">
        <f>_xlfn.XLOOKUP(A23,'Groundwater Discharge Permi'!C$2:C$193,'Groundwater Discharge Permi'!E$2:E$193, "NA")</f>
        <v>Camp Winona</v>
      </c>
    </row>
    <row r="24" spans="1:2">
      <c r="A24" t="s">
        <v>410</v>
      </c>
      <c r="B24" t="str">
        <f>_xlfn.XLOOKUP(A24,'Groundwater Discharge Permi'!C$2:C$193,'Groundwater Discharge Permi'!E$2:E$193, "NA")</f>
        <v>Campus Hills Elementary School</v>
      </c>
    </row>
    <row r="25" spans="1:2">
      <c r="A25" t="s">
        <v>557</v>
      </c>
      <c r="B25" t="str">
        <f>_xlfn.XLOOKUP(A25,'Groundwater Discharge Permi'!C$2:C$193,'Groundwater Discharge Permi'!E$2:E$193, "NA")</f>
        <v>Campus Hills Shopping Center</v>
      </c>
    </row>
    <row r="26" spans="1:2">
      <c r="A26" t="s">
        <v>470</v>
      </c>
      <c r="B26" t="str">
        <f>_xlfn.XLOOKUP(A26,'Groundwater Discharge Permi'!C$2:C$193,'Groundwater Discharge Permi'!E$2:E$193, "NA")</f>
        <v>Caroline Acres Mobile Home Community</v>
      </c>
    </row>
    <row r="27" spans="1:2">
      <c r="A27" t="s">
        <v>182</v>
      </c>
      <c r="B27" t="str">
        <f>_xlfn.XLOOKUP(A27,'Groundwater Discharge Permi'!C$2:C$193,'Groundwater Discharge Permi'!E$2:E$193, "NA")</f>
        <v>Cattail Creek Country Club</v>
      </c>
    </row>
    <row r="28" spans="1:2">
      <c r="A28" t="s">
        <v>317</v>
      </c>
      <c r="B28" t="str">
        <f>_xlfn.XLOOKUP(A28,'Groundwater Discharge Permi'!C$2:C$193,'Groundwater Discharge Permi'!E$2:E$193, "NA")</f>
        <v>Cecilton Manufactured Housing Community Pump Station</v>
      </c>
    </row>
    <row r="29" spans="1:2">
      <c r="A29" t="s">
        <v>363</v>
      </c>
      <c r="B29" t="str">
        <f>_xlfn.XLOOKUP(A29,'Groundwater Discharge Permi'!C$2:C$193,'Groundwater Discharge Permi'!E$2:E$193, "NA")</f>
        <v>Cedarville Mobile Home Park</v>
      </c>
    </row>
    <row r="30" spans="1:2">
      <c r="A30" t="s">
        <v>534</v>
      </c>
      <c r="B30" t="str">
        <f>_xlfn.XLOOKUP(A30,'Groundwater Discharge Permi'!C$2:C$193,'Groundwater Discharge Permi'!E$2:E$193, "NA")</f>
        <v>Atria Manresa Nursing Home</v>
      </c>
    </row>
    <row r="31" spans="1:2">
      <c r="A31" t="s">
        <v>256</v>
      </c>
      <c r="B31" t="str">
        <f>_xlfn.XLOOKUP(A31,'Groundwater Discharge Permi'!C$2:C$193,'Groundwater Discharge Permi'!E$2:E$193, "NA")</f>
        <v>Central MD International Trucks</v>
      </c>
    </row>
    <row r="32" spans="1:2">
      <c r="A32" t="s">
        <v>536</v>
      </c>
      <c r="B32" t="str">
        <f>_xlfn.XLOOKUP(A32,'Groundwater Discharge Permi'!C$2:C$193,'Groundwater Discharge Permi'!E$2:E$193, "NA")</f>
        <v>Centreville Wastewater Irrigation Facility</v>
      </c>
    </row>
    <row r="33" spans="1:3">
      <c r="A33" t="s">
        <v>365</v>
      </c>
      <c r="B33" t="str">
        <f>_xlfn.XLOOKUP(A33,'Groundwater Discharge Permi'!C$2:C$193,'Groundwater Discharge Permi'!E$2:E$193, "NA")</f>
        <v>Charlotte Hall Center, Inc. WWTP</v>
      </c>
    </row>
    <row r="34" spans="1:3">
      <c r="A34" t="s">
        <v>124</v>
      </c>
      <c r="B34" t="str">
        <f>_xlfn.XLOOKUP(A34,'Groundwater Discharge Permi'!C$2:C$193,'Groundwater Discharge Permi'!E$2:E$193, "NA")</f>
        <v>Charlotte Hall Square</v>
      </c>
    </row>
    <row r="35" spans="1:3">
      <c r="A35" t="s">
        <v>428</v>
      </c>
      <c r="B35" t="str">
        <f>_xlfn.XLOOKUP(A35,'Groundwater Discharge Permi'!C$2:C$193,'Groundwater Discharge Permi'!E$2:E$193, "NA")</f>
        <v>Charlotte Hall Veterans Home</v>
      </c>
    </row>
    <row r="36" spans="1:3">
      <c r="A36" t="s">
        <v>108</v>
      </c>
      <c r="B36" t="str">
        <f>_xlfn.XLOOKUP(A36,'Groundwater Discharge Permi'!C$2:C$193,'Groundwater Discharge Permi'!E$2:E$193, "NA")</f>
        <v>Clustered Spires Golf Course</v>
      </c>
    </row>
    <row r="37" spans="1:3">
      <c r="A37" t="s">
        <v>565</v>
      </c>
      <c r="B37" t="str">
        <f>_xlfn.XLOOKUP(A37,'Groundwater Discharge Permi'!C$2:C$193,'Groundwater Discharge Permi'!E$2:E$193, "NA")</f>
        <v>Cobb Island WWTP</v>
      </c>
    </row>
    <row r="38" spans="1:3">
      <c r="A38" t="s">
        <v>5</v>
      </c>
      <c r="B38" t="str">
        <f>_xlfn.XLOOKUP(A38,'Groundwater Discharge Permi'!C$2:C$193,'Groundwater Discharge Permi'!E$2:E$193, "NA")</f>
        <v>Company 8 LLC</v>
      </c>
    </row>
    <row r="39" spans="1:3">
      <c r="A39" t="s">
        <v>554</v>
      </c>
      <c r="B39" t="str">
        <f>_xlfn.XLOOKUP(A39,'Groundwater Discharge Permi'!C$2:C$193,'Groundwater Discharge Permi'!E$2:E$193, "NA")</f>
        <v>Crownsville State Hospital Center WWTP</v>
      </c>
    </row>
    <row r="40" spans="1:3">
      <c r="A40" t="s">
        <v>322</v>
      </c>
      <c r="B40" t="str">
        <f>_xlfn.XLOOKUP(A40,'Groundwater Discharge Permi'!C$2:C$193,'Groundwater Discharge Permi'!E$2:E$193, "NA")</f>
        <v>Darnestown Elementary School</v>
      </c>
    </row>
    <row r="41" spans="1:3">
      <c r="A41" t="s">
        <v>434</v>
      </c>
      <c r="B41" t="str">
        <f>_xlfn.XLOOKUP(A41,'Groundwater Discharge Permi'!C$2:C$193,'Groundwater Discharge Permi'!E$2:E$193, "NA")</f>
        <v>Dayton Oaks Elementary School</v>
      </c>
    </row>
    <row r="42" spans="1:3">
      <c r="A42" t="s">
        <v>349</v>
      </c>
      <c r="B42" t="str">
        <f>_xlfn.XLOOKUP(A42,'Groundwater Discharge Permi'!C$2:C$193,'Groundwater Discharge Permi'!E$2:E$193, "NA")</f>
        <v>Deep Water Subdivision - Phase I</v>
      </c>
    </row>
    <row r="43" spans="1:3">
      <c r="A43" t="s">
        <v>131</v>
      </c>
      <c r="B43" t="str">
        <f>_xlfn.XLOOKUP(A43,'Groundwater Discharge Permi'!C$2:C$193,'Groundwater Discharge Permi'!E$2:E$193, "NA")</f>
        <v>Deep Water Subdivision - Phase II</v>
      </c>
    </row>
    <row r="44" spans="1:3">
      <c r="A44" t="s">
        <v>581</v>
      </c>
      <c r="B44" t="str">
        <f>_xlfn.XLOOKUP(A44,'Groundwater Discharge Permi'!C$2:C$193,'Groundwater Discharge Permi'!E$2:E$193, "NA")</f>
        <v>NA</v>
      </c>
      <c r="C44" t="s">
        <v>604</v>
      </c>
    </row>
    <row r="45" spans="1:3">
      <c r="A45" t="s">
        <v>497</v>
      </c>
      <c r="B45" t="str">
        <f>_xlfn.XLOOKUP(A45,'Groundwater Discharge Permi'!C$2:C$193,'Groundwater Discharge Permi'!E$2:E$193, "NA")</f>
        <v>Deer Run Golf Club</v>
      </c>
    </row>
    <row r="46" spans="1:3">
      <c r="A46" t="s">
        <v>582</v>
      </c>
      <c r="B46" t="str">
        <f>_xlfn.XLOOKUP(A46,'Groundwater Discharge Permi'!C$2:C$193,'Groundwater Discharge Permi'!E$2:E$193, "NA")</f>
        <v>NA</v>
      </c>
      <c r="C46" t="s">
        <v>605</v>
      </c>
    </row>
    <row r="47" spans="1:3">
      <c r="A47" t="s">
        <v>231</v>
      </c>
      <c r="B47" t="str">
        <f>_xlfn.XLOOKUP(A47,'Groundwater Discharge Permi'!C$2:C$193,'Groundwater Discharge Permi'!E$2:E$193, "NA")</f>
        <v>Easton Utilities - N Washington St</v>
      </c>
    </row>
    <row r="48" spans="1:3">
      <c r="A48" t="s">
        <v>458</v>
      </c>
      <c r="B48" t="str">
        <f>_xlfn.XLOOKUP(A48,'Groundwater Discharge Permi'!C$2:C$193,'Groundwater Discharge Permi'!E$2:E$193, "NA")</f>
        <v>Ellicott Meadows Community WWTP</v>
      </c>
    </row>
    <row r="49" spans="1:2">
      <c r="A49" t="s">
        <v>286</v>
      </c>
      <c r="B49" t="str">
        <f>_xlfn.XLOOKUP(A49,'Groundwater Discharge Permi'!C$2:C$193,'Groundwater Discharge Permi'!E$2:E$193, "NA")</f>
        <v>ESAB Welding &amp; Cutting Products</v>
      </c>
    </row>
    <row r="50" spans="1:2">
      <c r="A50" t="s">
        <v>215</v>
      </c>
      <c r="B50" t="str">
        <f>_xlfn.XLOOKUP(A50,'Groundwater Discharge Permi'!C$2:C$193,'Groundwater Discharge Permi'!E$2:E$193, "NA")</f>
        <v>Evangelical Presbyterian Church of Annapolis</v>
      </c>
    </row>
    <row r="51" spans="1:2">
      <c r="A51" t="s">
        <v>215</v>
      </c>
      <c r="B51" t="str">
        <f>_xlfn.XLOOKUP(A51,'Groundwater Discharge Permi'!C$2:C$193,'Groundwater Discharge Permi'!E$2:E$193, "NA")</f>
        <v>Evangelical Presbyterian Church of Annapolis</v>
      </c>
    </row>
    <row r="52" spans="1:2">
      <c r="A52" t="s">
        <v>395</v>
      </c>
      <c r="B52" t="str">
        <f>_xlfn.XLOOKUP(A52,'Groundwater Discharge Permi'!C$2:C$193,'Groundwater Discharge Permi'!E$2:E$193, "NA")</f>
        <v>Fallston High School</v>
      </c>
    </row>
    <row r="53" spans="1:2">
      <c r="A53" t="s">
        <v>383</v>
      </c>
      <c r="B53" t="str">
        <f>_xlfn.XLOOKUP(A53,'Groundwater Discharge Permi'!C$2:C$193,'Groundwater Discharge Permi'!E$2:E$193, "NA")</f>
        <v>F.A.A. Remote Transmitter Site</v>
      </c>
    </row>
    <row r="54" spans="1:2">
      <c r="A54" t="s">
        <v>485</v>
      </c>
      <c r="B54" t="str">
        <f>_xlfn.XLOOKUP(A54,'Groundwater Discharge Permi'!C$2:C$193,'Groundwater Discharge Permi'!E$2:E$193, "NA")</f>
        <v>Ferry Farms Estates - Phase I</v>
      </c>
    </row>
    <row r="55" spans="1:2">
      <c r="A55" t="s">
        <v>488</v>
      </c>
      <c r="B55" t="str">
        <f>_xlfn.XLOOKUP(A55,'Groundwater Discharge Permi'!C$2:C$193,'Groundwater Discharge Permi'!E$2:E$193, "NA")</f>
        <v>Ferry Farms Estates - Phase II</v>
      </c>
    </row>
    <row r="56" spans="1:2">
      <c r="A56" t="s">
        <v>446</v>
      </c>
      <c r="B56" t="str">
        <f>_xlfn.XLOOKUP(A56,'Groundwater Discharge Permi'!C$2:C$193,'Groundwater Discharge Permi'!E$2:E$193, "NA")</f>
        <v>Forrest Farm WWTP</v>
      </c>
    </row>
    <row r="57" spans="1:2">
      <c r="A57" t="s">
        <v>44</v>
      </c>
      <c r="B57" t="str">
        <f>_xlfn.XLOOKUP(A57,'Groundwater Discharge Permi'!C$2:C$193,'Groundwater Discharge Permi'!E$2:E$193, "NA")</f>
        <v>Fort Whaley Campground</v>
      </c>
    </row>
    <row r="58" spans="1:2">
      <c r="A58" t="s">
        <v>491</v>
      </c>
      <c r="B58" t="str">
        <f>_xlfn.XLOOKUP(A58,'Groundwater Discharge Permi'!C$2:C$193,'Groundwater Discharge Permi'!E$2:E$193, "NA")</f>
        <v>Frederick Christian Fellowship Church</v>
      </c>
    </row>
    <row r="59" spans="1:2">
      <c r="A59" t="s">
        <v>482</v>
      </c>
      <c r="B59" t="str">
        <f>_xlfn.XLOOKUP(A59,'Groundwater Discharge Permi'!C$2:C$193,'Groundwater Discharge Permi'!E$2:E$193, "NA")</f>
        <v>Fruitland WTP</v>
      </c>
    </row>
    <row r="60" spans="1:2">
      <c r="A60" t="s">
        <v>368</v>
      </c>
      <c r="B60" t="str">
        <f>_xlfn.XLOOKUP(A60,'Groundwater Discharge Permi'!C$2:C$193,'Groundwater Discharge Permi'!E$2:E$193, "NA")</f>
        <v>Gale-Bailey Elementary School</v>
      </c>
    </row>
    <row r="61" spans="1:2">
      <c r="A61" t="s">
        <v>352</v>
      </c>
      <c r="B61" t="str">
        <f>_xlfn.XLOOKUP(A61,'Groundwater Discharge Permi'!C$2:C$193,'Groundwater Discharge Permi'!E$2:E$193, "NA")</f>
        <v>Gerstell Academy</v>
      </c>
    </row>
    <row r="62" spans="1:2">
      <c r="A62" t="s">
        <v>440</v>
      </c>
      <c r="B62" t="str">
        <f>_xlfn.XLOOKUP(A62,'Groundwater Discharge Permi'!C$2:C$193,'Groundwater Discharge Permi'!E$2:E$193, "NA")</f>
        <v>Glenelg Country School</v>
      </c>
    </row>
    <row r="63" spans="1:2">
      <c r="A63" t="s">
        <v>419</v>
      </c>
      <c r="B63" t="str">
        <f>_xlfn.XLOOKUP(A63,'Groundwater Discharge Permi'!C$2:C$193,'Groundwater Discharge Permi'!E$2:E$193, "NA")</f>
        <v>Glenelg High School</v>
      </c>
    </row>
    <row r="64" spans="1:2">
      <c r="A64" s="1" t="s">
        <v>320</v>
      </c>
      <c r="B64" t="str">
        <f>_xlfn.XLOOKUP(A64,'Groundwater Discharge Permi'!C$2:C$193,'Groundwater Discharge Permi'!E$2:E$193, "NA")</f>
        <v>Poolesville Golf Course WWTP</v>
      </c>
    </row>
    <row r="65" spans="1:3">
      <c r="A65" t="s">
        <v>437</v>
      </c>
      <c r="B65" t="str">
        <f>_xlfn.XLOOKUP(A65,'Groundwater Discharge Permi'!C$2:C$193,'Groundwater Discharge Permi'!E$2:E$193, "NA")</f>
        <v>Habonim Dror Camp Moshava</v>
      </c>
    </row>
    <row r="66" spans="1:3">
      <c r="A66" t="s">
        <v>53</v>
      </c>
      <c r="B66" t="str">
        <f>_xlfn.XLOOKUP(A66,'Groundwater Discharge Permi'!C$2:C$193,'Groundwater Discharge Permi'!E$2:E$193, "NA")</f>
        <v>Harford Community College</v>
      </c>
    </row>
    <row r="67" spans="1:3">
      <c r="A67" t="s">
        <v>473</v>
      </c>
      <c r="B67" t="str">
        <f>_xlfn.XLOOKUP(A67,'Groundwater Discharge Permi'!C$2:C$193,'Groundwater Discharge Permi'!E$2:E$193, "NA")</f>
        <v>Harford Technical High School</v>
      </c>
    </row>
    <row r="68" spans="1:3">
      <c r="A68" t="s">
        <v>583</v>
      </c>
      <c r="B68" t="str">
        <f>_xlfn.XLOOKUP(A68,'Groundwater Discharge Permi'!C$2:C$193,'Groundwater Discharge Permi'!E$2:E$193, "NA")</f>
        <v>NA</v>
      </c>
      <c r="C68" s="1" t="s">
        <v>606</v>
      </c>
    </row>
    <row r="69" spans="1:3">
      <c r="A69" t="s">
        <v>494</v>
      </c>
      <c r="B69" t="str">
        <f>_xlfn.XLOOKUP(A69,'Groundwater Discharge Permi'!C$2:C$193,'Groundwater Discharge Permi'!E$2:E$193, "NA")</f>
        <v>Hollow Creek Golf Club</v>
      </c>
    </row>
    <row r="70" spans="1:3">
      <c r="A70" t="s">
        <v>42</v>
      </c>
      <c r="B70" t="str">
        <f>_xlfn.XLOOKUP(A70,'Groundwater Discharge Permi'!C$2:C$193,'Groundwater Discharge Permi'!E$2:E$193, "NA")</f>
        <v>Hurlock WWTP</v>
      </c>
    </row>
    <row r="71" spans="1:3">
      <c r="A71" t="s">
        <v>360</v>
      </c>
      <c r="B71" t="str">
        <f>_xlfn.XLOOKUP(A71,'Groundwater Discharge Permi'!C$2:C$193,'Groundwater Discharge Permi'!E$2:E$193, "NA")</f>
        <v>Island Resort Campground</v>
      </c>
    </row>
    <row r="72" spans="1:3">
      <c r="A72" t="s">
        <v>584</v>
      </c>
      <c r="B72" t="str">
        <f>_xlfn.XLOOKUP(A72,'Groundwater Discharge Permi'!C$2:C$193,'Groundwater Discharge Permi'!E$2:E$193, "NA")</f>
        <v>NA</v>
      </c>
      <c r="C72" s="1" t="s">
        <v>607</v>
      </c>
    </row>
    <row r="73" spans="1:3">
      <c r="A73" t="s">
        <v>585</v>
      </c>
      <c r="B73" t="str">
        <f>_xlfn.XLOOKUP(A73,'Groundwater Discharge Permi'!C$2:C$193,'Groundwater Discharge Permi'!E$2:E$193, "NA")</f>
        <v>NA</v>
      </c>
      <c r="C73" s="2" t="s">
        <v>608</v>
      </c>
    </row>
    <row r="74" spans="1:3">
      <c r="A74" t="s">
        <v>298</v>
      </c>
      <c r="B74" t="str">
        <f>_xlfn.XLOOKUP(A74,'Groundwater Discharge Permi'!C$2:C$193,'Groundwater Discharge Permi'!E$2:E$193, "NA")</f>
        <v>Kuzzens Packing</v>
      </c>
    </row>
    <row r="75" spans="1:3">
      <c r="A75" t="s">
        <v>542</v>
      </c>
      <c r="B75" t="str">
        <f>_xlfn.XLOOKUP(A75,'Groundwater Discharge Permi'!C$2:C$193,'Groundwater Discharge Permi'!E$2:E$193, "NA")</f>
        <v>Lake Haven Mobile Home Park WWTP</v>
      </c>
    </row>
    <row r="76" spans="1:3">
      <c r="A76" t="s">
        <v>586</v>
      </c>
      <c r="B76" t="str">
        <f>_xlfn.XLOOKUP(A76,'Groundwater Discharge Permi'!C$2:C$193,'Groundwater Discharge Permi'!E$2:E$193, "NA")</f>
        <v>NA</v>
      </c>
      <c r="C76" s="2" t="s">
        <v>609</v>
      </c>
    </row>
    <row r="77" spans="1:3">
      <c r="A77" t="s">
        <v>467</v>
      </c>
      <c r="B77" t="str">
        <f>_xlfn.XLOOKUP(A77,'Groundwater Discharge Permi'!C$2:C$193,'Groundwater Discharge Permi'!E$2:E$193, "NA")</f>
        <v>Lakeview Mobile Home Park</v>
      </c>
    </row>
    <row r="78" spans="1:3">
      <c r="A78" t="s">
        <v>240</v>
      </c>
      <c r="B78" t="str">
        <f>_xlfn.XLOOKUP(A78,'Groundwater Discharge Permi'!C$2:C$193,'Groundwater Discharge Permi'!E$2:E$193, "NA")</f>
        <v>Laytonsville Elementary School</v>
      </c>
    </row>
    <row r="79" spans="1:3">
      <c r="A79" t="s">
        <v>443</v>
      </c>
      <c r="B79" t="str">
        <f>_xlfn.XLOOKUP(A79,'Groundwater Discharge Permi'!C$2:C$193,'Groundwater Discharge Permi'!E$2:E$193, "NA")</f>
        <v>Lighthouse Sound WWTP</v>
      </c>
    </row>
    <row r="80" spans="1:3">
      <c r="A80" t="s">
        <v>572</v>
      </c>
      <c r="B80" t="str">
        <f>_xlfn.XLOOKUP(A80,'Groundwater Discharge Permi'!C$2:C$193,'Groundwater Discharge Permi'!E$2:E$193, "NA")</f>
        <v>Lions Camp Merrick</v>
      </c>
    </row>
    <row r="81" spans="1:3">
      <c r="A81" t="s">
        <v>343</v>
      </c>
      <c r="B81" t="str">
        <f>_xlfn.XLOOKUP(A81,'Groundwater Discharge Permi'!C$2:C$193,'Groundwater Discharge Permi'!E$2:E$193, "NA")</f>
        <v>Lisbon Shopping Plaza</v>
      </c>
    </row>
    <row r="82" spans="1:3">
      <c r="A82" t="s">
        <v>587</v>
      </c>
      <c r="B82" t="str">
        <f>_xlfn.XLOOKUP(A82,'Groundwater Discharge Permi'!C$2:C$193,'Groundwater Discharge Permi'!E$2:E$193, "NA")</f>
        <v>NA</v>
      </c>
      <c r="C82" s="1" t="s">
        <v>610</v>
      </c>
    </row>
    <row r="83" spans="1:3">
      <c r="A83" t="s">
        <v>203</v>
      </c>
      <c r="B83" t="str">
        <f>_xlfn.XLOOKUP(A83,'Groundwater Discharge Permi'!C$2:C$193,'Groundwater Discharge Permi'!E$2:E$193, "NA")</f>
        <v>Lyhus Property</v>
      </c>
    </row>
    <row r="84" spans="1:3">
      <c r="A84" t="s">
        <v>102</v>
      </c>
      <c r="B84" t="str">
        <f>_xlfn.XLOOKUP(A84,'Groundwater Discharge Permi'!C$2:C$193,'Groundwater Discharge Permi'!E$2:E$193, "NA")</f>
        <v>Mack Trucks, Inc - Volvo</v>
      </c>
    </row>
    <row r="85" spans="1:3">
      <c r="A85" t="s">
        <v>588</v>
      </c>
      <c r="B85" t="str">
        <f>_xlfn.XLOOKUP(A85,'Groundwater Discharge Permi'!C$2:C$193,'Groundwater Discharge Permi'!E$2:E$193, "NA")</f>
        <v>NA</v>
      </c>
      <c r="C85" s="1" t="s">
        <v>611</v>
      </c>
    </row>
    <row r="86" spans="1:3">
      <c r="A86" t="s">
        <v>36</v>
      </c>
      <c r="B86" t="str">
        <f>_xlfn.XLOOKUP(A86,'Groundwater Discharge Permi'!C$2:C$193,'Groundwater Discharge Permi'!E$2:E$193, "NA")</f>
        <v>Mariner's Country Downs WWTP</v>
      </c>
    </row>
    <row r="87" spans="1:3">
      <c r="A87" t="s">
        <v>422</v>
      </c>
      <c r="B87" t="str">
        <f>_xlfn.XLOOKUP(A87,'Groundwater Discharge Permi'!C$2:C$193,'Groundwater Discharge Permi'!E$2:E$193, "NA")</f>
        <v>Marley Run WWTP</v>
      </c>
    </row>
    <row r="88" spans="1:3">
      <c r="A88" t="s">
        <v>524</v>
      </c>
      <c r="B88" t="str">
        <f>_xlfn.XLOOKUP(A88,'Groundwater Discharge Permi'!C$2:C$193,'Groundwater Discharge Permi'!E$2:E$193, "NA")</f>
        <v>Marriotts Ridge High School</v>
      </c>
    </row>
    <row r="89" spans="1:3">
      <c r="A89" t="s">
        <v>105</v>
      </c>
      <c r="B89" t="str">
        <f>_xlfn.XLOOKUP(A89,'Groundwater Discharge Permi'!C$2:C$193,'Groundwater Discharge Permi'!E$2:E$193, "NA")</f>
        <v>Maybelle Manor Moblie Home Park</v>
      </c>
    </row>
    <row r="90" spans="1:3">
      <c r="A90" t="s">
        <v>589</v>
      </c>
      <c r="B90" t="str">
        <f>_xlfn.XLOOKUP(A90,'Groundwater Discharge Permi'!C$2:C$193,'Groundwater Discharge Permi'!E$2:E$193, "NA")</f>
        <v>NA</v>
      </c>
      <c r="C90" s="1" t="s">
        <v>612</v>
      </c>
    </row>
    <row r="91" spans="1:3">
      <c r="A91" t="s">
        <v>590</v>
      </c>
      <c r="B91" t="str">
        <f>_xlfn.XLOOKUP(A91,'Groundwater Discharge Permi'!C$2:C$193,'Groundwater Discharge Permi'!E$2:E$193, "NA")</f>
        <v>NA</v>
      </c>
      <c r="C91" t="s">
        <v>613</v>
      </c>
    </row>
    <row r="92" spans="1:3">
      <c r="A92" t="s">
        <v>346</v>
      </c>
      <c r="B92" t="str">
        <f>_xlfn.XLOOKUP(A92,'Groundwater Discharge Permi'!C$2:C$193,'Groundwater Discharge Permi'!E$2:E$193, "NA")</f>
        <v>Mount Airy Bible Church, Inc</v>
      </c>
    </row>
    <row r="93" spans="1:3">
      <c r="A93" t="s">
        <v>431</v>
      </c>
      <c r="B93" t="str">
        <f>_xlfn.XLOOKUP(A93,'Groundwater Discharge Permi'!C$2:C$193,'Groundwater Discharge Permi'!E$2:E$193, "NA")</f>
        <v>Mountain Christian Church</v>
      </c>
    </row>
    <row r="94" spans="1:3">
      <c r="A94" t="s">
        <v>229</v>
      </c>
      <c r="B94" t="str">
        <f>_xlfn.XLOOKUP(A94,'Groundwater Discharge Permi'!C$2:C$193,'Groundwater Discharge Permi'!E$2:E$193, "NA")</f>
        <v>Mystic Harbour WWTP</v>
      </c>
    </row>
    <row r="95" spans="1:3">
      <c r="A95" t="s">
        <v>591</v>
      </c>
      <c r="B95" t="str">
        <f>_xlfn.XLOOKUP(A95,'Groundwater Discharge Permi'!C$2:C$193,'Groundwater Discharge Permi'!E$2:E$193, "NA")</f>
        <v>NA</v>
      </c>
      <c r="C95" s="2" t="s">
        <v>614</v>
      </c>
    </row>
    <row r="96" spans="1:3">
      <c r="A96" t="s">
        <v>449</v>
      </c>
      <c r="B96" t="str">
        <f>_xlfn.XLOOKUP(A96,'Groundwater Discharge Permi'!C$2:C$193,'Groundwater Discharge Permi'!E$2:E$193, "NA")</f>
        <v>Naughty Dogs Restaurant</v>
      </c>
    </row>
    <row r="97" spans="1:3">
      <c r="A97" t="s">
        <v>416</v>
      </c>
      <c r="B97" t="str">
        <f>_xlfn.XLOOKUP(A97,'Groundwater Discharge Permi'!C$2:C$193,'Groundwater Discharge Permi'!E$2:E$193, "NA")</f>
        <v>New Bushy Park Elementary &amp; Glenwood Middle Schools WWTP</v>
      </c>
    </row>
    <row r="98" spans="1:3">
      <c r="A98" t="s">
        <v>389</v>
      </c>
      <c r="B98" t="str">
        <f>_xlfn.XLOOKUP(A98,'Groundwater Discharge Permi'!C$2:C$193,'Groundwater Discharge Permi'!E$2:E$193, "NA")</f>
        <v>Worcester County Maryland Newark WWTP</v>
      </c>
    </row>
    <row r="99" spans="1:3">
      <c r="A99" t="s">
        <v>97</v>
      </c>
      <c r="B99" t="str">
        <f>_xlfn.XLOOKUP(A99,'Groundwater Discharge Permi'!C$2:C$193,'Groundwater Discharge Permi'!E$2:E$193, "NA")</f>
        <v>Ocean Landing II</v>
      </c>
    </row>
    <row r="100" spans="1:3">
      <c r="A100" t="s">
        <v>50</v>
      </c>
      <c r="B100" t="str">
        <f>_xlfn.XLOOKUP(A100,'Groundwater Discharge Permi'!C$2:C$193,'Groundwater Discharge Permi'!E$2:E$193, "NA")</f>
        <v>Oldfields School</v>
      </c>
    </row>
    <row r="101" spans="1:3">
      <c r="A101" t="s">
        <v>120</v>
      </c>
      <c r="B101" t="str">
        <f>_xlfn.XLOOKUP(A101,'Groundwater Discharge Permi'!C$2:C$193,'Groundwater Discharge Permi'!E$2:E$193, "NA")</f>
        <v>Patuxent River 4-H Center Foundation, Inc.</v>
      </c>
    </row>
    <row r="102" spans="1:3">
      <c r="A102" t="s">
        <v>224</v>
      </c>
      <c r="B102" t="str">
        <f>_xlfn.XLOOKUP(A102,'Groundwater Discharge Permi'!C$2:C$193,'Groundwater Discharge Permi'!E$2:E$193, "NA")</f>
        <v>Pearlstone Family Camp</v>
      </c>
    </row>
    <row r="103" spans="1:3">
      <c r="A103" t="s">
        <v>224</v>
      </c>
      <c r="B103" t="str">
        <f>_xlfn.XLOOKUP(A103,'Groundwater Discharge Permi'!C$2:C$193,'Groundwater Discharge Permi'!E$2:E$193, "NA")</f>
        <v>Pearlstone Family Camp</v>
      </c>
    </row>
    <row r="104" spans="1:3">
      <c r="A104" t="s">
        <v>39</v>
      </c>
      <c r="B104" t="str">
        <f>_xlfn.XLOOKUP(A104,'Groundwater Discharge Permi'!C$2:C$193,'Groundwater Discharge Permi'!E$2:E$193, "NA")</f>
        <v>Peddicord Property WWTP</v>
      </c>
    </row>
    <row r="105" spans="1:3">
      <c r="A105" t="s">
        <v>312</v>
      </c>
      <c r="B105" t="str">
        <f>_xlfn.XLOOKUP(A105,'Groundwater Discharge Permi'!C$2:C$193,'Groundwater Discharge Permi'!E$2:E$193, "NA")</f>
        <v>Perdue Farms, Inc. - Hatchery No. 10</v>
      </c>
    </row>
    <row r="106" spans="1:3">
      <c r="A106" t="s">
        <v>592</v>
      </c>
      <c r="B106" t="str">
        <f>_xlfn.XLOOKUP(A106,'Groundwater Discharge Permi'!C$2:C$193,'Groundwater Discharge Permi'!E$2:E$193, "NA")</f>
        <v>NA</v>
      </c>
      <c r="C106" s="2" t="s">
        <v>615</v>
      </c>
    </row>
    <row r="107" spans="1:3">
      <c r="A107" t="s">
        <v>114</v>
      </c>
      <c r="B107" t="str">
        <f>_xlfn.XLOOKUP(A107,'Groundwater Discharge Permi'!C$2:C$193,'Groundwater Discharge Permi'!E$2:E$193, "NA")</f>
        <v>Poplar Hill Pre-Release Unit</v>
      </c>
    </row>
    <row r="108" spans="1:3">
      <c r="A108" t="s">
        <v>56</v>
      </c>
      <c r="B108" t="str">
        <f>_xlfn.XLOOKUP(A108,'Groundwater Discharge Permi'!C$2:C$193,'Groundwater Discharge Permi'!E$2:E$193, "NA")</f>
        <v>AIS Enclosure Systems LLC</v>
      </c>
    </row>
    <row r="109" spans="1:3">
      <c r="A109" t="s">
        <v>413</v>
      </c>
      <c r="B109" t="str">
        <f>_xlfn.XLOOKUP(A109,'Groundwater Discharge Permi'!C$2:C$193,'Groundwater Discharge Permi'!E$2:E$193, "NA")</f>
        <v>Preserve at Wye Mills WWTP</v>
      </c>
    </row>
    <row r="110" spans="1:3">
      <c r="A110" t="s">
        <v>401</v>
      </c>
      <c r="B110" t="str">
        <f>_xlfn.XLOOKUP(A110,'Groundwater Discharge Permi'!C$2:C$193,'Groundwater Discharge Permi'!E$2:E$193, "NA")</f>
        <v>Prince Frederick WWTP #1</v>
      </c>
    </row>
    <row r="111" spans="1:3">
      <c r="A111" t="s">
        <v>404</v>
      </c>
      <c r="B111" t="str">
        <f>_xlfn.XLOOKUP(A111,'Groundwater Discharge Permi'!C$2:C$193,'Groundwater Discharge Permi'!E$2:E$193, "NA")</f>
        <v>Prince Frederick WWTP No. 2</v>
      </c>
    </row>
    <row r="112" spans="1:3">
      <c r="A112" t="s">
        <v>593</v>
      </c>
      <c r="B112" t="str">
        <f>_xlfn.XLOOKUP(A112,'Groundwater Discharge Permi'!C$2:C$193,'Groundwater Discharge Permi'!E$2:E$193, "NA")</f>
        <v>NA</v>
      </c>
      <c r="C112" s="2" t="s">
        <v>616</v>
      </c>
    </row>
    <row r="113" spans="1:3">
      <c r="A113" t="s">
        <v>594</v>
      </c>
      <c r="B113" t="str">
        <f>_xlfn.XLOOKUP(A113,'Groundwater Discharge Permi'!C$2:C$193,'Groundwater Discharge Permi'!E$2:E$193, "NA")</f>
        <v>NA</v>
      </c>
      <c r="C113" t="s">
        <v>617</v>
      </c>
    </row>
    <row r="114" spans="1:3">
      <c r="A114" t="s">
        <v>595</v>
      </c>
      <c r="B114" t="str">
        <f>_xlfn.XLOOKUP(A114,'Groundwater Discharge Permi'!C$2:C$193,'Groundwater Discharge Permi'!E$2:E$193, "NA")</f>
        <v>NA</v>
      </c>
      <c r="C114" s="2" t="s">
        <v>618</v>
      </c>
    </row>
    <row r="115" spans="1:3">
      <c r="A115" t="s">
        <v>407</v>
      </c>
      <c r="B115" t="str">
        <f>_xlfn.XLOOKUP(A115,'Groundwater Discharge Permi'!C$2:C$193,'Groundwater Discharge Permi'!E$2:E$193, "NA")</f>
        <v>Regency Manor Mobile Home Park</v>
      </c>
    </row>
    <row r="116" spans="1:3">
      <c r="A116" t="s">
        <v>596</v>
      </c>
      <c r="B116" t="str">
        <f>_xlfn.XLOOKUP(A116,'Groundwater Discharge Permi'!C$2:C$193,'Groundwater Discharge Permi'!E$2:E$193, "NA")</f>
        <v>NA</v>
      </c>
      <c r="C116" s="2" t="s">
        <v>619</v>
      </c>
    </row>
    <row r="117" spans="1:3">
      <c r="A117" t="s">
        <v>476</v>
      </c>
      <c r="B117" t="str">
        <f>_xlfn.XLOOKUP(A117,'Groundwater Discharge Permi'!C$2:C$193,'Groundwater Discharge Permi'!E$2:E$193, "NA")</f>
        <v>Renditions Golf Course</v>
      </c>
    </row>
    <row r="118" spans="1:3">
      <c r="A118" t="s">
        <v>126</v>
      </c>
      <c r="B118" t="str">
        <f>_xlfn.XLOOKUP(A118,'Groundwater Discharge Permi'!C$2:C$193,'Groundwater Discharge Permi'!E$2:E$193, "NA")</f>
        <v>Tradepoint Atlantic</v>
      </c>
    </row>
    <row r="119" spans="1:3">
      <c r="A119" t="s">
        <v>503</v>
      </c>
      <c r="B119" t="str">
        <f>_xlfn.XLOOKUP(A119,'Groundwater Discharge Permi'!C$2:C$193,'Groundwater Discharge Permi'!E$2:E$193, "NA")</f>
        <v>Riddle Farm WWTP</v>
      </c>
    </row>
    <row r="120" spans="1:3">
      <c r="A120" t="s">
        <v>509</v>
      </c>
      <c r="B120" t="str">
        <f>_xlfn.XLOOKUP(A120,'Groundwater Discharge Permi'!C$2:C$193,'Groundwater Discharge Permi'!E$2:E$193, "NA")</f>
        <v>River Run WWTP</v>
      </c>
    </row>
    <row r="121" spans="1:3">
      <c r="A121" t="s">
        <v>539</v>
      </c>
      <c r="B121" t="str">
        <f>_xlfn.XLOOKUP(A121,'Groundwater Discharge Permi'!C$2:C$193,'Groundwater Discharge Permi'!E$2:E$193, "NA")</f>
        <v>River Valley Ranch</v>
      </c>
    </row>
    <row r="122" spans="1:3">
      <c r="A122" t="s">
        <v>328</v>
      </c>
      <c r="B122" t="str">
        <f>_xlfn.XLOOKUP(A122,'Groundwater Discharge Permi'!C$2:C$193,'Groundwater Discharge Permi'!E$2:E$193, "NA")</f>
        <v>Riverview Mobile Home Park WTP</v>
      </c>
    </row>
    <row r="123" spans="1:3">
      <c r="A123" t="s">
        <v>68</v>
      </c>
      <c r="B123" t="str">
        <f>_xlfn.XLOOKUP(A123,'Groundwater Discharge Permi'!C$2:C$193,'Groundwater Discharge Permi'!E$2:E$193, "NA")</f>
        <v>Riverwood Phase II Shared Facility</v>
      </c>
    </row>
    <row r="124" spans="1:3">
      <c r="A124" t="s">
        <v>68</v>
      </c>
      <c r="B124" t="str">
        <f>_xlfn.XLOOKUP(A124,'Groundwater Discharge Permi'!C$2:C$193,'Groundwater Discharge Permi'!E$2:E$193, "NA")</f>
        <v>Riverwood Phase II Shared Facility</v>
      </c>
    </row>
    <row r="125" spans="1:3">
      <c r="A125" t="s">
        <v>274</v>
      </c>
      <c r="B125" t="str">
        <f>_xlfn.XLOOKUP(A125,'Groundwater Discharge Permi'!C$2:C$193,'Groundwater Discharge Permi'!E$2:E$193, "NA")</f>
        <v>Rocko Meats</v>
      </c>
    </row>
    <row r="126" spans="1:3">
      <c r="A126" t="s">
        <v>33</v>
      </c>
      <c r="B126" t="str">
        <f>_xlfn.XLOOKUP(A126,'Groundwater Discharge Permi'!C$2:C$193,'Groundwater Discharge Permi'!E$2:E$193, "NA")</f>
        <v>Salisbury Christian School</v>
      </c>
    </row>
    <row r="127" spans="1:3">
      <c r="A127" t="s">
        <v>340</v>
      </c>
      <c r="B127" t="str">
        <f>_xlfn.XLOOKUP(A127,'Groundwater Discharge Permi'!C$2:C$193,'Groundwater Discharge Permi'!E$2:E$193, "NA")</f>
        <v>Sandy Hill Camp &amp; Conference and Activity Center</v>
      </c>
    </row>
    <row r="128" spans="1:3">
      <c r="A128" t="s">
        <v>371</v>
      </c>
      <c r="B128" t="str">
        <f>_xlfn.XLOOKUP(A128,'Groundwater Discharge Permi'!C$2:C$193,'Groundwater Discharge Permi'!E$2:E$193, "NA")</f>
        <v>Severn Inn</v>
      </c>
    </row>
    <row r="129" spans="1:3">
      <c r="A129" t="s">
        <v>95</v>
      </c>
      <c r="B129" t="str">
        <f>_xlfn.XLOOKUP(A129,'Groundwater Discharge Permi'!C$2:C$193,'Groundwater Discharge Permi'!E$2:E$193, "NA")</f>
        <v>MARYLAND STATE HIGHWAY ADMINISTRATION - KEYSER'S RIDGE MAINTENANCE FACILITY</v>
      </c>
    </row>
    <row r="130" spans="1:3">
      <c r="A130" t="s">
        <v>398</v>
      </c>
      <c r="B130" t="str">
        <f>_xlfn.XLOOKUP(A130,'Groundwater Discharge Permi'!C$2:C$193,'Groundwater Discharge Permi'!E$2:E$193, "NA")</f>
        <v>Shoppes At Apple Green WWTP</v>
      </c>
    </row>
    <row r="131" spans="1:3">
      <c r="A131" t="s">
        <v>99</v>
      </c>
      <c r="B131" t="str">
        <f>_xlfn.XLOOKUP(A131,'Groundwater Discharge Permi'!C$2:C$193,'Groundwater Discharge Permi'!E$2:E$193, "NA")</f>
        <v>Smithsonian Environmental Research Center</v>
      </c>
    </row>
    <row r="132" spans="1:3">
      <c r="A132" t="s">
        <v>425</v>
      </c>
      <c r="B132" t="str">
        <f>_xlfn.XLOOKUP(A132,'Groundwater Discharge Permi'!C$2:C$193,'Groundwater Discharge Permi'!E$2:E$193, "NA")</f>
        <v>Solomons Island WWTP</v>
      </c>
    </row>
    <row r="133" spans="1:3">
      <c r="A133" t="s">
        <v>597</v>
      </c>
      <c r="B133" t="str">
        <f>_xlfn.XLOOKUP(A133,'Groundwater Discharge Permi'!C$2:C$193,'Groundwater Discharge Permi'!E$2:E$193, "NA")</f>
        <v>NA</v>
      </c>
      <c r="C133" s="2" t="s">
        <v>620</v>
      </c>
    </row>
    <row r="134" spans="1:3">
      <c r="A134" t="s">
        <v>325</v>
      </c>
      <c r="B134" t="str">
        <f>_xlfn.XLOOKUP(A134,'Groundwater Discharge Permi'!C$2:C$193,'Groundwater Discharge Permi'!E$2:E$193, "NA")</f>
        <v>Southstar Limited Partnership</v>
      </c>
    </row>
    <row r="135" spans="1:3">
      <c r="A135" t="s">
        <v>551</v>
      </c>
      <c r="B135" t="str">
        <f>_xlfn.XLOOKUP(A135,'Groundwater Discharge Permi'!C$2:C$193,'Groundwater Discharge Permi'!E$2:E$193, "NA")</f>
        <v>Sparrows Point Country Club</v>
      </c>
    </row>
    <row r="136" spans="1:3">
      <c r="A136" t="s">
        <v>455</v>
      </c>
      <c r="B136" t="str">
        <f>_xlfn.XLOOKUP(A136,'Groundwater Discharge Permi'!C$2:C$193,'Groundwater Discharge Permi'!E$2:E$193, "NA")</f>
        <v>St. Clement's Shores WWTP</v>
      </c>
    </row>
    <row r="137" spans="1:3">
      <c r="A137" t="s">
        <v>237</v>
      </c>
      <c r="B137" t="str">
        <f>_xlfn.XLOOKUP(A137,'Groundwater Discharge Permi'!C$2:C$193,'Groundwater Discharge Permi'!E$2:E$193, "NA")</f>
        <v>Steeplechase Water Works</v>
      </c>
    </row>
    <row r="138" spans="1:3">
      <c r="A138" t="s">
        <v>243</v>
      </c>
      <c r="B138" t="str">
        <f>_xlfn.XLOOKUP(A138,'Groundwater Discharge Permi'!C$2:C$193,'Groundwater Discharge Permi'!E$2:E$193, "NA")</f>
        <v>Sysco Eastern Maryland, LLC</v>
      </c>
    </row>
    <row r="139" spans="1:3">
      <c r="A139" t="s">
        <v>452</v>
      </c>
      <c r="B139" t="str">
        <f>_xlfn.XLOOKUP(A139,'Groundwater Discharge Permi'!C$2:C$193,'Groundwater Discharge Permi'!E$2:E$193, "NA")</f>
        <v>Talbot County Bio-Solids Utilization Facility</v>
      </c>
    </row>
    <row r="140" spans="1:3">
      <c r="A140" t="s">
        <v>176</v>
      </c>
      <c r="B140" t="str">
        <f>_xlfn.XLOOKUP(A140,'Groundwater Discharge Permi'!C$2:C$193,'Groundwater Discharge Permi'!E$2:E$193, "NA")</f>
        <v>The Arena Club</v>
      </c>
    </row>
    <row r="141" spans="1:3">
      <c r="A141" t="s">
        <v>176</v>
      </c>
      <c r="B141" t="str">
        <f>_xlfn.XLOOKUP(A141,'Groundwater Discharge Permi'!C$2:C$193,'Groundwater Discharge Permi'!E$2:E$193, "NA")</f>
        <v>The Arena Club</v>
      </c>
    </row>
    <row r="142" spans="1:3">
      <c r="A142" t="s">
        <v>580</v>
      </c>
      <c r="B142" t="str">
        <f>_xlfn.XLOOKUP(A142,'Groundwater Discharge Permi'!C$2:C$193,'Groundwater Discharge Permi'!E$2:E$193, "NA")</f>
        <v>Benedictine School</v>
      </c>
    </row>
    <row r="143" spans="1:3">
      <c r="A143" t="s">
        <v>355</v>
      </c>
      <c r="B143" t="str">
        <f>_xlfn.XLOOKUP(A143,'Groundwater Discharge Permi'!C$2:C$193,'Groundwater Discharge Permi'!E$2:E$193, "NA")</f>
        <v>The Landings Sewage Treatment Facility</v>
      </c>
    </row>
    <row r="144" spans="1:3">
      <c r="A144" t="s">
        <v>392</v>
      </c>
      <c r="B144" t="str">
        <f>_xlfn.XLOOKUP(A144,'Groundwater Discharge Permi'!C$2:C$193,'Groundwater Discharge Permi'!E$2:E$193, "NA")</f>
        <v>The Sacred Monastery of St. Nina</v>
      </c>
    </row>
    <row r="145" spans="1:2">
      <c r="A145" t="s">
        <v>548</v>
      </c>
      <c r="B145" t="str">
        <f>_xlfn.XLOOKUP(A145,'Groundwater Discharge Permi'!C$2:C$193,'Groundwater Discharge Permi'!E$2:E$193, "NA")</f>
        <v>Trappe East WWTP</v>
      </c>
    </row>
    <row r="146" spans="1:2">
      <c r="A146" t="s">
        <v>515</v>
      </c>
      <c r="B146" t="str">
        <f>_xlfn.XLOOKUP(A146,'Groundwater Discharge Permi'!C$2:C$193,'Groundwater Discharge Permi'!E$2:E$193, "NA")</f>
        <v>The Villas At Cattail WWTP &amp; WTP</v>
      </c>
    </row>
    <row r="147" spans="1:2">
      <c r="A147" t="s">
        <v>122</v>
      </c>
      <c r="B147" t="str">
        <f>_xlfn.XLOOKUP(A147,'Groundwater Discharge Permi'!C$2:C$193,'Groundwater Discharge Permi'!E$2:E$193, "NA")</f>
        <v>Todd Village Mobile Home Park</v>
      </c>
    </row>
    <row r="148" spans="1:2">
      <c r="A148" t="s">
        <v>527</v>
      </c>
      <c r="B148" t="str">
        <f>_xlfn.XLOOKUP(A148,'Groundwater Discharge Permi'!C$2:C$193,'Groundwater Discharge Permi'!E$2:E$193, "NA")</f>
        <v>Towson University - Academic Center @ Harford Community College</v>
      </c>
    </row>
    <row r="149" spans="1:2">
      <c r="A149" t="s">
        <v>529</v>
      </c>
      <c r="B149" t="str">
        <f>_xlfn.XLOOKUP(A149,'Groundwater Discharge Permi'!C$2:C$193,'Groundwater Discharge Permi'!E$2:E$193, "NA")</f>
        <v>Triadelphia Ridge Elementary School</v>
      </c>
    </row>
    <row r="150" spans="1:2">
      <c r="A150" t="s">
        <v>464</v>
      </c>
      <c r="B150" t="str">
        <f>_xlfn.XLOOKUP(A150,'Groundwater Discharge Permi'!C$2:C$193,'Groundwater Discharge Permi'!E$2:E$193, "NA")</f>
        <v>Tudor Farms, Inc.</v>
      </c>
    </row>
    <row r="151" spans="1:2">
      <c r="A151" t="s">
        <v>310</v>
      </c>
      <c r="B151" t="str">
        <f>_xlfn.XLOOKUP(A151,'Groundwater Discharge Permi'!C$2:C$193,'Groundwater Discharge Permi'!E$2:E$193, "NA")</f>
        <v>UMES - Hawk Lane Water Supply Well</v>
      </c>
    </row>
    <row r="152" spans="1:2">
      <c r="A152" t="s">
        <v>386</v>
      </c>
      <c r="B152" t="str">
        <f>_xlfn.XLOOKUP(A152,'Groundwater Discharge Permi'!C$2:C$193,'Groundwater Discharge Permi'!E$2:E$193, "NA")</f>
        <v>Vera's Beach Club</v>
      </c>
    </row>
    <row r="153" spans="1:2">
      <c r="A153" t="s">
        <v>500</v>
      </c>
      <c r="B153" t="str">
        <f>_xlfn.XLOOKUP(A153,'Groundwater Discharge Permi'!C$2:C$193,'Groundwater Discharge Permi'!E$2:E$193, "NA")</f>
        <v>Terra Firmma Llc/the Village Down River/</v>
      </c>
    </row>
    <row r="154" spans="1:2">
      <c r="A154" t="s">
        <v>479</v>
      </c>
      <c r="B154" t="str">
        <f>_xlfn.XLOOKUP(A154,'Groundwater Discharge Permi'!C$2:C$193,'Groundwater Discharge Permi'!E$2:E$193, "NA")</f>
        <v>Villas at West Friendship</v>
      </c>
    </row>
    <row r="155" spans="1:2">
      <c r="A155" t="s">
        <v>280</v>
      </c>
      <c r="B155" t="str">
        <f>_xlfn.XLOOKUP(A155,'Groundwater Discharge Permi'!C$2:C$193,'Groundwater Discharge Permi'!E$2:E$193, "NA")</f>
        <v>W.L. Gore &amp; Associates, Inc - Cherry Hill Plant</v>
      </c>
    </row>
    <row r="156" spans="1:2">
      <c r="A156" t="s">
        <v>377</v>
      </c>
      <c r="B156" t="str">
        <f>_xlfn.XLOOKUP(A156,'Groundwater Discharge Permi'!C$2:C$193,'Groundwater Discharge Permi'!E$2:E$193, "NA")</f>
        <v>Walnut Creek Subdivision</v>
      </c>
    </row>
    <row r="157" spans="1:2">
      <c r="A157" t="s">
        <v>374</v>
      </c>
      <c r="B157" t="str">
        <f>_xlfn.XLOOKUP(A157,'Groundwater Discharge Permi'!C$2:C$193,'Groundwater Discharge Permi'!E$2:E$193, "NA")</f>
        <v>Walnut Grove Shared Facility</v>
      </c>
    </row>
    <row r="158" spans="1:2">
      <c r="A158" t="s">
        <v>289</v>
      </c>
      <c r="B158" t="str">
        <f>_xlfn.XLOOKUP(A158,'Groundwater Discharge Permi'!C$2:C$193,'Groundwater Discharge Permi'!E$2:E$193, "NA")</f>
        <v>Washington Gas - Rockville Station</v>
      </c>
    </row>
    <row r="159" spans="1:2">
      <c r="A159" t="s">
        <v>560</v>
      </c>
      <c r="B159" t="str">
        <f>_xlfn.XLOOKUP(A159,'Groundwater Discharge Permi'!C$2:C$193,'Groundwater Discharge Permi'!E$2:E$193, "NA")</f>
        <v>Wawa Food Market 582</v>
      </c>
    </row>
    <row r="160" spans="1:2">
      <c r="A160" t="s">
        <v>337</v>
      </c>
      <c r="B160" t="str">
        <f>_xlfn.XLOOKUP(A160,'Groundwater Discharge Permi'!C$2:C$193,'Groundwater Discharge Permi'!E$2:E$193, "NA")</f>
        <v>West Nottingham Academy</v>
      </c>
    </row>
    <row r="161" spans="1:3">
      <c r="A161" t="s">
        <v>110</v>
      </c>
      <c r="B161" t="str">
        <f>_xlfn.XLOOKUP(A161,'Groundwater Discharge Permi'!C$2:C$193,'Groundwater Discharge Permi'!E$2:E$193, "NA")</f>
        <v>Western Regional Park</v>
      </c>
    </row>
    <row r="162" spans="1:3">
      <c r="A162" t="s">
        <v>598</v>
      </c>
      <c r="B162" t="str">
        <f>_xlfn.XLOOKUP(A162,'Groundwater Discharge Permi'!C$2:C$193,'Groundwater Discharge Permi'!E$2:E$193, "NA")</f>
        <v>NA</v>
      </c>
      <c r="C162" t="s">
        <v>382</v>
      </c>
    </row>
    <row r="163" spans="1:3">
      <c r="A163" t="s">
        <v>599</v>
      </c>
      <c r="B163" t="str">
        <f>_xlfn.XLOOKUP(A163,'Groundwater Discharge Permi'!C$2:C$193,'Groundwater Discharge Permi'!E$2:E$193, "NA")</f>
        <v>NA</v>
      </c>
      <c r="C163" t="s">
        <v>621</v>
      </c>
    </row>
    <row r="164" spans="1:3">
      <c r="A164" t="s">
        <v>600</v>
      </c>
      <c r="B164" t="str">
        <f>_xlfn.XLOOKUP(A164,'Groundwater Discharge Permi'!C$2:C$193,'Groundwater Discharge Permi'!E$2:E$193, "NA")</f>
        <v>NA</v>
      </c>
      <c r="C164" t="s">
        <v>622</v>
      </c>
    </row>
    <row r="165" spans="1:3">
      <c r="A165" t="s">
        <v>277</v>
      </c>
      <c r="B165" t="str">
        <f>_xlfn.XLOOKUP(A165,'Groundwater Discharge Permi'!C$2:C$193,'Groundwater Discharge Permi'!E$2:E$193, "NA")</f>
        <v>WLR Automotive Group</v>
      </c>
    </row>
    <row r="166" spans="1:3">
      <c r="A166" t="s">
        <v>30</v>
      </c>
      <c r="B166" t="str">
        <f>_xlfn.XLOOKUP(A166,'Groundwater Discharge Permi'!C$2:C$193,'Groundwater Discharge Permi'!E$2:E$193, "NA")</f>
        <v>Youth's Benefit Elementary School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9B4D-0CA7-4FBF-B02E-EDE3CFE57A10}">
  <dimension ref="A2:D166"/>
  <sheetViews>
    <sheetView topLeftCell="A136" workbookViewId="0">
      <selection activeCell="E6" sqref="E6"/>
    </sheetView>
  </sheetViews>
  <sheetFormatPr defaultRowHeight="15"/>
  <cols>
    <col min="1" max="1" width="73.5703125" bestFit="1" customWidth="1"/>
    <col min="2" max="2" width="37" bestFit="1" customWidth="1"/>
    <col min="3" max="3" width="15.42578125" bestFit="1" customWidth="1"/>
    <col min="4" max="4" width="10.5703125" bestFit="1" customWidth="1"/>
  </cols>
  <sheetData>
    <row r="2" spans="1:4">
      <c r="A2" t="s">
        <v>508</v>
      </c>
      <c r="B2" t="s">
        <v>642</v>
      </c>
      <c r="C2" t="s">
        <v>643</v>
      </c>
      <c r="D2" t="s">
        <v>507</v>
      </c>
    </row>
    <row r="3" spans="1:4">
      <c r="A3" t="s">
        <v>547</v>
      </c>
      <c r="B3" t="s">
        <v>644</v>
      </c>
      <c r="C3" t="s">
        <v>645</v>
      </c>
      <c r="D3" t="s">
        <v>546</v>
      </c>
    </row>
    <row r="4" spans="1:4">
      <c r="A4" t="s">
        <v>646</v>
      </c>
      <c r="B4" t="s">
        <v>647</v>
      </c>
      <c r="C4" t="s">
        <v>648</v>
      </c>
      <c r="D4" t="s">
        <v>462</v>
      </c>
    </row>
    <row r="5" spans="1:4">
      <c r="A5" t="s">
        <v>649</v>
      </c>
      <c r="B5" t="s">
        <v>650</v>
      </c>
      <c r="C5" t="s">
        <v>651</v>
      </c>
      <c r="D5" t="s">
        <v>272</v>
      </c>
    </row>
    <row r="6" spans="1:4">
      <c r="A6" t="s">
        <v>652</v>
      </c>
      <c r="B6" t="s">
        <v>653</v>
      </c>
      <c r="C6" t="s">
        <v>654</v>
      </c>
      <c r="D6" t="s">
        <v>532</v>
      </c>
    </row>
    <row r="7" spans="1:4">
      <c r="A7" t="s">
        <v>520</v>
      </c>
      <c r="B7" t="s">
        <v>655</v>
      </c>
      <c r="C7" t="s">
        <v>656</v>
      </c>
      <c r="D7" t="s">
        <v>519</v>
      </c>
    </row>
    <row r="8" spans="1:4">
      <c r="A8" t="s">
        <v>657</v>
      </c>
      <c r="B8" t="s">
        <v>658</v>
      </c>
      <c r="C8" t="s">
        <v>648</v>
      </c>
      <c r="D8" t="s">
        <v>571</v>
      </c>
    </row>
    <row r="9" spans="1:4">
      <c r="A9" t="s">
        <v>659</v>
      </c>
      <c r="B9" t="s">
        <v>660</v>
      </c>
      <c r="C9" t="s">
        <v>661</v>
      </c>
      <c r="D9" t="s">
        <v>250</v>
      </c>
    </row>
    <row r="10" spans="1:4">
      <c r="A10" t="s">
        <v>285</v>
      </c>
      <c r="B10" t="s">
        <v>662</v>
      </c>
      <c r="C10" t="s">
        <v>663</v>
      </c>
      <c r="D10" t="s">
        <v>284</v>
      </c>
    </row>
    <row r="11" spans="1:4">
      <c r="A11" t="s">
        <v>336</v>
      </c>
      <c r="B11" t="s">
        <v>664</v>
      </c>
      <c r="C11" t="s">
        <v>665</v>
      </c>
      <c r="D11" t="s">
        <v>335</v>
      </c>
    </row>
    <row r="12" spans="1:4">
      <c r="A12" t="s">
        <v>666</v>
      </c>
      <c r="B12" t="s">
        <v>667</v>
      </c>
      <c r="C12" t="s">
        <v>668</v>
      </c>
      <c r="D12" t="s">
        <v>139</v>
      </c>
    </row>
    <row r="13" spans="1:4">
      <c r="A13" t="s">
        <v>228</v>
      </c>
      <c r="B13" t="s">
        <v>669</v>
      </c>
      <c r="C13" t="s">
        <v>670</v>
      </c>
      <c r="D13" t="s">
        <v>227</v>
      </c>
    </row>
    <row r="14" spans="1:4">
      <c r="A14" t="s">
        <v>671</v>
      </c>
      <c r="B14" t="s">
        <v>672</v>
      </c>
      <c r="C14" t="s">
        <v>673</v>
      </c>
      <c r="D14" t="s">
        <v>141</v>
      </c>
    </row>
    <row r="15" spans="1:4">
      <c r="A15" t="s">
        <v>514</v>
      </c>
      <c r="B15" t="s">
        <v>674</v>
      </c>
      <c r="C15" t="s">
        <v>675</v>
      </c>
      <c r="D15" t="s">
        <v>513</v>
      </c>
    </row>
    <row r="16" spans="1:4">
      <c r="A16" t="s">
        <v>270</v>
      </c>
      <c r="B16" t="s">
        <v>676</v>
      </c>
      <c r="C16" t="s">
        <v>677</v>
      </c>
      <c r="D16" t="s">
        <v>269</v>
      </c>
    </row>
    <row r="17" spans="1:4">
      <c r="A17" t="s">
        <v>255</v>
      </c>
      <c r="B17" t="s">
        <v>678</v>
      </c>
      <c r="C17" t="s">
        <v>679</v>
      </c>
      <c r="D17" t="s">
        <v>316</v>
      </c>
    </row>
    <row r="18" spans="1:4">
      <c r="A18" t="s">
        <v>49</v>
      </c>
      <c r="B18" t="s">
        <v>680</v>
      </c>
      <c r="C18" t="s">
        <v>681</v>
      </c>
      <c r="D18" t="s">
        <v>48</v>
      </c>
    </row>
    <row r="19" spans="1:4">
      <c r="A19" t="s">
        <v>113</v>
      </c>
      <c r="B19" t="s">
        <v>682</v>
      </c>
      <c r="C19" t="s">
        <v>683</v>
      </c>
      <c r="D19" t="s">
        <v>134</v>
      </c>
    </row>
    <row r="20" spans="1:4">
      <c r="A20" t="s">
        <v>684</v>
      </c>
      <c r="B20" t="s">
        <v>685</v>
      </c>
      <c r="C20" t="s">
        <v>686</v>
      </c>
      <c r="D20" t="s">
        <v>522</v>
      </c>
    </row>
    <row r="21" spans="1:4">
      <c r="A21" t="s">
        <v>333</v>
      </c>
      <c r="B21" t="s">
        <v>687</v>
      </c>
      <c r="C21" t="s">
        <v>688</v>
      </c>
      <c r="D21" t="s">
        <v>332</v>
      </c>
    </row>
    <row r="22" spans="1:4">
      <c r="A22" t="s">
        <v>119</v>
      </c>
      <c r="B22" t="s">
        <v>689</v>
      </c>
      <c r="C22" t="s">
        <v>690</v>
      </c>
      <c r="D22" t="s">
        <v>129</v>
      </c>
    </row>
    <row r="23" spans="1:4">
      <c r="A23" t="s">
        <v>412</v>
      </c>
      <c r="B23" t="s">
        <v>691</v>
      </c>
      <c r="C23" t="s">
        <v>692</v>
      </c>
      <c r="D23" t="s">
        <v>411</v>
      </c>
    </row>
    <row r="24" spans="1:4">
      <c r="A24" t="s">
        <v>559</v>
      </c>
      <c r="B24" t="s">
        <v>693</v>
      </c>
      <c r="C24" t="s">
        <v>694</v>
      </c>
      <c r="D24" t="s">
        <v>558</v>
      </c>
    </row>
    <row r="25" spans="1:4">
      <c r="A25" t="s">
        <v>472</v>
      </c>
      <c r="B25" t="s">
        <v>695</v>
      </c>
      <c r="C25" t="s">
        <v>696</v>
      </c>
      <c r="D25" t="s">
        <v>471</v>
      </c>
    </row>
    <row r="26" spans="1:4">
      <c r="A26" t="s">
        <v>184</v>
      </c>
      <c r="B26" t="s">
        <v>697</v>
      </c>
      <c r="C26" t="s">
        <v>698</v>
      </c>
      <c r="D26" t="s">
        <v>183</v>
      </c>
    </row>
    <row r="27" spans="1:4">
      <c r="A27" t="s">
        <v>319</v>
      </c>
      <c r="B27" t="s">
        <v>699</v>
      </c>
      <c r="C27" t="s">
        <v>700</v>
      </c>
      <c r="D27" t="s">
        <v>318</v>
      </c>
    </row>
    <row r="28" spans="1:4">
      <c r="A28" t="s">
        <v>364</v>
      </c>
      <c r="B28" t="s">
        <v>701</v>
      </c>
      <c r="C28" t="s">
        <v>702</v>
      </c>
      <c r="D28" t="s">
        <v>556</v>
      </c>
    </row>
    <row r="29" spans="1:4">
      <c r="A29" t="s">
        <v>703</v>
      </c>
      <c r="B29" t="s">
        <v>704</v>
      </c>
      <c r="C29" t="s">
        <v>705</v>
      </c>
      <c r="D29" t="s">
        <v>569</v>
      </c>
    </row>
    <row r="30" spans="1:4">
      <c r="A30" t="s">
        <v>706</v>
      </c>
      <c r="B30" t="s">
        <v>707</v>
      </c>
      <c r="C30" t="s">
        <v>708</v>
      </c>
      <c r="D30" t="s">
        <v>257</v>
      </c>
    </row>
    <row r="31" spans="1:4">
      <c r="A31" t="s">
        <v>538</v>
      </c>
      <c r="B31" t="s">
        <v>709</v>
      </c>
      <c r="C31" t="s">
        <v>710</v>
      </c>
      <c r="D31" t="s">
        <v>537</v>
      </c>
    </row>
    <row r="32" spans="1:4">
      <c r="A32" t="s">
        <v>367</v>
      </c>
      <c r="B32" t="s">
        <v>711</v>
      </c>
      <c r="C32" t="s">
        <v>712</v>
      </c>
      <c r="D32" t="s">
        <v>366</v>
      </c>
    </row>
    <row r="33" spans="1:4">
      <c r="A33" t="s">
        <v>713</v>
      </c>
      <c r="B33" t="s">
        <v>714</v>
      </c>
      <c r="C33" t="s">
        <v>712</v>
      </c>
      <c r="D33" t="s">
        <v>151</v>
      </c>
    </row>
    <row r="34" spans="1:4">
      <c r="A34" t="s">
        <v>430</v>
      </c>
      <c r="B34" t="s">
        <v>715</v>
      </c>
      <c r="C34" t="s">
        <v>712</v>
      </c>
      <c r="D34" t="s">
        <v>429</v>
      </c>
    </row>
    <row r="35" spans="1:4">
      <c r="A35" t="s">
        <v>109</v>
      </c>
      <c r="B35" t="s">
        <v>716</v>
      </c>
      <c r="C35" t="s">
        <v>654</v>
      </c>
      <c r="D35" t="s">
        <v>143</v>
      </c>
    </row>
    <row r="36" spans="1:4">
      <c r="A36" t="s">
        <v>567</v>
      </c>
      <c r="B36" t="s">
        <v>717</v>
      </c>
      <c r="C36" t="s">
        <v>718</v>
      </c>
      <c r="D36" t="s">
        <v>566</v>
      </c>
    </row>
    <row r="37" spans="1:4">
      <c r="A37" t="s">
        <v>6</v>
      </c>
      <c r="B37" t="s">
        <v>719</v>
      </c>
      <c r="C37" t="s">
        <v>720</v>
      </c>
      <c r="D37" t="s">
        <v>721</v>
      </c>
    </row>
    <row r="38" spans="1:4">
      <c r="A38" t="s">
        <v>555</v>
      </c>
      <c r="B38" t="s">
        <v>722</v>
      </c>
      <c r="C38" t="s">
        <v>723</v>
      </c>
      <c r="D38" t="s">
        <v>577</v>
      </c>
    </row>
    <row r="39" spans="1:4">
      <c r="A39" t="s">
        <v>324</v>
      </c>
      <c r="B39" t="s">
        <v>724</v>
      </c>
      <c r="C39" t="s">
        <v>725</v>
      </c>
      <c r="D39" t="s">
        <v>323</v>
      </c>
    </row>
    <row r="40" spans="1:4">
      <c r="A40" t="s">
        <v>436</v>
      </c>
      <c r="B40" t="s">
        <v>726</v>
      </c>
      <c r="C40" t="s">
        <v>727</v>
      </c>
      <c r="D40" t="s">
        <v>435</v>
      </c>
    </row>
    <row r="41" spans="1:4">
      <c r="A41" t="s">
        <v>351</v>
      </c>
      <c r="B41" t="s">
        <v>728</v>
      </c>
      <c r="C41" t="s">
        <v>729</v>
      </c>
      <c r="D41" t="s">
        <v>730</v>
      </c>
    </row>
    <row r="42" spans="1:4">
      <c r="A42" t="s">
        <v>132</v>
      </c>
      <c r="B42" t="s">
        <v>731</v>
      </c>
      <c r="C42" t="s">
        <v>729</v>
      </c>
      <c r="D42" t="s">
        <v>732</v>
      </c>
    </row>
    <row r="43" spans="1:4">
      <c r="A43" t="s">
        <v>604</v>
      </c>
      <c r="B43" t="s">
        <v>733</v>
      </c>
      <c r="C43" t="s">
        <v>648</v>
      </c>
      <c r="D43" t="s">
        <v>623</v>
      </c>
    </row>
    <row r="44" spans="1:4">
      <c r="A44" t="s">
        <v>499</v>
      </c>
      <c r="B44" t="s">
        <v>733</v>
      </c>
      <c r="C44" t="s">
        <v>648</v>
      </c>
      <c r="D44" t="s">
        <v>498</v>
      </c>
    </row>
    <row r="45" spans="1:4">
      <c r="A45" t="s">
        <v>605</v>
      </c>
      <c r="B45" t="s">
        <v>734</v>
      </c>
      <c r="C45" t="s">
        <v>735</v>
      </c>
      <c r="D45" t="s">
        <v>624</v>
      </c>
    </row>
    <row r="46" spans="1:4">
      <c r="A46" t="s">
        <v>736</v>
      </c>
      <c r="B46" t="s">
        <v>737</v>
      </c>
      <c r="C46" t="s">
        <v>681</v>
      </c>
      <c r="D46" t="s">
        <v>232</v>
      </c>
    </row>
    <row r="47" spans="1:4">
      <c r="A47" t="s">
        <v>460</v>
      </c>
      <c r="B47" t="s">
        <v>738</v>
      </c>
      <c r="C47" t="s">
        <v>739</v>
      </c>
      <c r="D47" t="s">
        <v>459</v>
      </c>
    </row>
    <row r="48" spans="1:4">
      <c r="A48" t="s">
        <v>288</v>
      </c>
      <c r="B48" t="s">
        <v>740</v>
      </c>
      <c r="C48" t="s">
        <v>741</v>
      </c>
      <c r="D48" t="s">
        <v>287</v>
      </c>
    </row>
    <row r="49" spans="1:4">
      <c r="A49" t="s">
        <v>742</v>
      </c>
      <c r="B49" t="s">
        <v>743</v>
      </c>
      <c r="C49" t="s">
        <v>705</v>
      </c>
      <c r="D49" t="s">
        <v>216</v>
      </c>
    </row>
    <row r="50" spans="1:4">
      <c r="A50" t="s">
        <v>742</v>
      </c>
      <c r="B50" t="s">
        <v>743</v>
      </c>
      <c r="C50" t="s">
        <v>705</v>
      </c>
      <c r="D50" t="s">
        <v>744</v>
      </c>
    </row>
    <row r="51" spans="1:4">
      <c r="A51" t="s">
        <v>397</v>
      </c>
      <c r="B51" t="s">
        <v>745</v>
      </c>
      <c r="C51" t="s">
        <v>746</v>
      </c>
      <c r="D51" t="s">
        <v>396</v>
      </c>
    </row>
    <row r="52" spans="1:4">
      <c r="A52" t="s">
        <v>747</v>
      </c>
      <c r="B52" t="s">
        <v>748</v>
      </c>
      <c r="C52" t="s">
        <v>749</v>
      </c>
      <c r="D52" t="s">
        <v>384</v>
      </c>
    </row>
    <row r="53" spans="1:4">
      <c r="A53" t="s">
        <v>750</v>
      </c>
      <c r="B53" t="s">
        <v>751</v>
      </c>
      <c r="C53" t="s">
        <v>686</v>
      </c>
      <c r="D53" t="s">
        <v>486</v>
      </c>
    </row>
    <row r="54" spans="1:4">
      <c r="A54" t="s">
        <v>752</v>
      </c>
      <c r="B54" t="s">
        <v>751</v>
      </c>
      <c r="C54" t="s">
        <v>686</v>
      </c>
      <c r="D54" t="s">
        <v>489</v>
      </c>
    </row>
    <row r="55" spans="1:4">
      <c r="A55" t="s">
        <v>448</v>
      </c>
      <c r="B55" t="s">
        <v>753</v>
      </c>
      <c r="C55" t="s">
        <v>754</v>
      </c>
      <c r="D55" t="s">
        <v>447</v>
      </c>
    </row>
    <row r="56" spans="1:4">
      <c r="A56" t="s">
        <v>46</v>
      </c>
      <c r="B56" t="s">
        <v>755</v>
      </c>
      <c r="C56" t="s">
        <v>756</v>
      </c>
      <c r="D56" t="s">
        <v>45</v>
      </c>
    </row>
    <row r="57" spans="1:4">
      <c r="A57" t="s">
        <v>757</v>
      </c>
      <c r="B57" t="s">
        <v>758</v>
      </c>
      <c r="C57" t="s">
        <v>654</v>
      </c>
      <c r="D57" t="s">
        <v>492</v>
      </c>
    </row>
    <row r="58" spans="1:4">
      <c r="A58" t="s">
        <v>484</v>
      </c>
      <c r="B58" t="s">
        <v>759</v>
      </c>
      <c r="C58" t="s">
        <v>760</v>
      </c>
      <c r="D58" t="s">
        <v>483</v>
      </c>
    </row>
    <row r="59" spans="1:4">
      <c r="A59" t="s">
        <v>370</v>
      </c>
      <c r="B59" t="s">
        <v>761</v>
      </c>
      <c r="C59" t="s">
        <v>762</v>
      </c>
      <c r="D59" t="s">
        <v>369</v>
      </c>
    </row>
    <row r="60" spans="1:4">
      <c r="A60" t="s">
        <v>354</v>
      </c>
      <c r="B60" t="s">
        <v>763</v>
      </c>
      <c r="C60" t="s">
        <v>764</v>
      </c>
      <c r="D60" t="s">
        <v>353</v>
      </c>
    </row>
    <row r="61" spans="1:4">
      <c r="A61" t="s">
        <v>442</v>
      </c>
      <c r="B61" t="s">
        <v>765</v>
      </c>
      <c r="C61" t="s">
        <v>739</v>
      </c>
      <c r="D61" t="s">
        <v>441</v>
      </c>
    </row>
    <row r="62" spans="1:4">
      <c r="A62" t="s">
        <v>421</v>
      </c>
      <c r="B62" t="s">
        <v>766</v>
      </c>
      <c r="C62" t="s">
        <v>767</v>
      </c>
      <c r="D62" t="s">
        <v>420</v>
      </c>
    </row>
    <row r="63" spans="1:4" ht="30">
      <c r="A63" s="3" t="s">
        <v>768</v>
      </c>
      <c r="B63" t="s">
        <v>769</v>
      </c>
      <c r="C63" t="s">
        <v>770</v>
      </c>
      <c r="D63" t="s">
        <v>575</v>
      </c>
    </row>
    <row r="64" spans="1:4">
      <c r="A64" t="s">
        <v>439</v>
      </c>
      <c r="B64" t="s">
        <v>771</v>
      </c>
      <c r="C64" t="s">
        <v>772</v>
      </c>
      <c r="D64" t="s">
        <v>438</v>
      </c>
    </row>
    <row r="65" spans="1:4">
      <c r="A65" t="s">
        <v>55</v>
      </c>
      <c r="B65" t="s">
        <v>773</v>
      </c>
      <c r="C65" t="s">
        <v>692</v>
      </c>
      <c r="D65" t="s">
        <v>54</v>
      </c>
    </row>
    <row r="66" spans="1:4">
      <c r="A66" t="s">
        <v>475</v>
      </c>
      <c r="B66" t="s">
        <v>774</v>
      </c>
      <c r="C66" t="s">
        <v>692</v>
      </c>
      <c r="D66" t="s">
        <v>474</v>
      </c>
    </row>
    <row r="67" spans="1:4">
      <c r="A67" t="s">
        <v>606</v>
      </c>
      <c r="B67" t="s">
        <v>775</v>
      </c>
      <c r="C67" t="s">
        <v>776</v>
      </c>
      <c r="D67" t="s">
        <v>625</v>
      </c>
    </row>
    <row r="68" spans="1:4">
      <c r="A68" t="s">
        <v>496</v>
      </c>
      <c r="B68" t="s">
        <v>777</v>
      </c>
      <c r="C68" t="s">
        <v>778</v>
      </c>
      <c r="D68" t="s">
        <v>495</v>
      </c>
    </row>
    <row r="69" spans="1:4">
      <c r="A69" t="s">
        <v>43</v>
      </c>
      <c r="B69" t="s">
        <v>779</v>
      </c>
      <c r="C69" t="s">
        <v>780</v>
      </c>
      <c r="D69" t="s">
        <v>130</v>
      </c>
    </row>
    <row r="70" spans="1:4">
      <c r="A70" t="s">
        <v>362</v>
      </c>
      <c r="B70" t="s">
        <v>781</v>
      </c>
      <c r="C70" t="s">
        <v>782</v>
      </c>
      <c r="D70" t="s">
        <v>361</v>
      </c>
    </row>
    <row r="71" spans="1:4">
      <c r="A71" t="s">
        <v>607</v>
      </c>
      <c r="B71" t="s">
        <v>783</v>
      </c>
      <c r="C71" t="s">
        <v>784</v>
      </c>
      <c r="D71" t="s">
        <v>626</v>
      </c>
    </row>
    <row r="72" spans="1:4">
      <c r="A72" t="s">
        <v>608</v>
      </c>
      <c r="B72" t="s">
        <v>785</v>
      </c>
      <c r="C72" t="s">
        <v>786</v>
      </c>
      <c r="D72" t="s">
        <v>627</v>
      </c>
    </row>
    <row r="73" spans="1:4">
      <c r="A73" t="s">
        <v>300</v>
      </c>
      <c r="B73" t="s">
        <v>787</v>
      </c>
      <c r="C73" t="s">
        <v>788</v>
      </c>
      <c r="D73" t="s">
        <v>299</v>
      </c>
    </row>
    <row r="74" spans="1:4">
      <c r="A74" t="s">
        <v>789</v>
      </c>
      <c r="B74" t="s">
        <v>790</v>
      </c>
      <c r="C74" t="s">
        <v>648</v>
      </c>
      <c r="D74" t="s">
        <v>543</v>
      </c>
    </row>
    <row r="75" spans="1:4">
      <c r="A75" t="s">
        <v>609</v>
      </c>
      <c r="B75" t="s">
        <v>791</v>
      </c>
      <c r="C75" t="s">
        <v>792</v>
      </c>
      <c r="D75" t="s">
        <v>628</v>
      </c>
    </row>
    <row r="76" spans="1:4">
      <c r="A76" t="s">
        <v>793</v>
      </c>
      <c r="B76" t="s">
        <v>794</v>
      </c>
      <c r="C76" t="s">
        <v>764</v>
      </c>
      <c r="D76" t="s">
        <v>468</v>
      </c>
    </row>
    <row r="77" spans="1:4">
      <c r="A77" t="s">
        <v>242</v>
      </c>
      <c r="B77" t="s">
        <v>795</v>
      </c>
      <c r="C77" t="s">
        <v>665</v>
      </c>
      <c r="D77" t="s">
        <v>241</v>
      </c>
    </row>
    <row r="78" spans="1:4">
      <c r="A78" t="s">
        <v>445</v>
      </c>
      <c r="B78" t="s">
        <v>796</v>
      </c>
      <c r="C78" t="s">
        <v>797</v>
      </c>
      <c r="D78" t="s">
        <v>444</v>
      </c>
    </row>
    <row r="79" spans="1:4">
      <c r="A79" t="s">
        <v>574</v>
      </c>
      <c r="B79" t="s">
        <v>798</v>
      </c>
      <c r="C79" t="s">
        <v>799</v>
      </c>
      <c r="D79" t="s">
        <v>573</v>
      </c>
    </row>
    <row r="80" spans="1:4">
      <c r="A80" t="s">
        <v>345</v>
      </c>
      <c r="B80" t="s">
        <v>800</v>
      </c>
      <c r="C80" t="s">
        <v>801</v>
      </c>
      <c r="D80" t="s">
        <v>344</v>
      </c>
    </row>
    <row r="81" spans="1:4">
      <c r="A81" t="s">
        <v>610</v>
      </c>
      <c r="B81" t="s">
        <v>802</v>
      </c>
      <c r="C81" t="s">
        <v>694</v>
      </c>
      <c r="D81" t="s">
        <v>629</v>
      </c>
    </row>
    <row r="82" spans="1:4">
      <c r="A82" t="s">
        <v>205</v>
      </c>
      <c r="B82" t="s">
        <v>803</v>
      </c>
      <c r="C82" t="s">
        <v>804</v>
      </c>
      <c r="D82" t="s">
        <v>204</v>
      </c>
    </row>
    <row r="83" spans="1:4">
      <c r="A83" t="s">
        <v>805</v>
      </c>
      <c r="B83" t="s">
        <v>806</v>
      </c>
      <c r="C83" t="s">
        <v>708</v>
      </c>
      <c r="D83" t="s">
        <v>103</v>
      </c>
    </row>
    <row r="84" spans="1:4">
      <c r="A84" t="s">
        <v>611</v>
      </c>
      <c r="B84" t="s">
        <v>807</v>
      </c>
      <c r="C84" t="s">
        <v>735</v>
      </c>
      <c r="D84" t="s">
        <v>630</v>
      </c>
    </row>
    <row r="85" spans="1:4">
      <c r="A85" t="s">
        <v>808</v>
      </c>
      <c r="B85" t="s">
        <v>809</v>
      </c>
      <c r="C85" t="s">
        <v>648</v>
      </c>
      <c r="D85" t="s">
        <v>37</v>
      </c>
    </row>
    <row r="86" spans="1:4">
      <c r="A86" t="s">
        <v>424</v>
      </c>
      <c r="B86" t="s">
        <v>810</v>
      </c>
      <c r="C86" t="s">
        <v>811</v>
      </c>
      <c r="D86" t="s">
        <v>812</v>
      </c>
    </row>
    <row r="87" spans="1:4">
      <c r="A87" t="s">
        <v>813</v>
      </c>
      <c r="B87" t="s">
        <v>814</v>
      </c>
      <c r="C87" t="s">
        <v>815</v>
      </c>
      <c r="D87" t="s">
        <v>525</v>
      </c>
    </row>
    <row r="88" spans="1:4">
      <c r="A88" t="s">
        <v>816</v>
      </c>
      <c r="B88" t="s">
        <v>817</v>
      </c>
      <c r="C88" t="s">
        <v>818</v>
      </c>
      <c r="D88" t="s">
        <v>106</v>
      </c>
    </row>
    <row r="89" spans="1:4">
      <c r="A89" t="s">
        <v>612</v>
      </c>
      <c r="B89" t="s">
        <v>819</v>
      </c>
      <c r="C89" t="s">
        <v>820</v>
      </c>
      <c r="D89" t="s">
        <v>631</v>
      </c>
    </row>
    <row r="90" spans="1:4">
      <c r="A90" t="s">
        <v>613</v>
      </c>
      <c r="B90" t="s">
        <v>821</v>
      </c>
      <c r="C90" t="s">
        <v>799</v>
      </c>
      <c r="D90" t="s">
        <v>632</v>
      </c>
    </row>
    <row r="91" spans="1:4">
      <c r="A91" t="s">
        <v>348</v>
      </c>
      <c r="B91" t="s">
        <v>822</v>
      </c>
      <c r="C91" t="s">
        <v>823</v>
      </c>
      <c r="D91" t="s">
        <v>347</v>
      </c>
    </row>
    <row r="92" spans="1:4">
      <c r="A92" t="s">
        <v>433</v>
      </c>
      <c r="B92" t="s">
        <v>824</v>
      </c>
      <c r="C92" t="s">
        <v>825</v>
      </c>
      <c r="D92" t="s">
        <v>432</v>
      </c>
    </row>
    <row r="93" spans="1:4">
      <c r="A93" t="s">
        <v>230</v>
      </c>
      <c r="B93" t="s">
        <v>826</v>
      </c>
      <c r="C93" t="s">
        <v>648</v>
      </c>
      <c r="D93" t="s">
        <v>564</v>
      </c>
    </row>
    <row r="94" spans="1:4">
      <c r="A94" t="s">
        <v>614</v>
      </c>
      <c r="B94" t="s">
        <v>827</v>
      </c>
      <c r="C94" t="s">
        <v>828</v>
      </c>
      <c r="D94" t="s">
        <v>633</v>
      </c>
    </row>
    <row r="95" spans="1:4">
      <c r="A95" t="s">
        <v>451</v>
      </c>
      <c r="B95" t="s">
        <v>829</v>
      </c>
      <c r="C95" t="s">
        <v>692</v>
      </c>
      <c r="D95" t="s">
        <v>450</v>
      </c>
    </row>
    <row r="96" spans="1:4">
      <c r="A96" t="s">
        <v>418</v>
      </c>
      <c r="B96" t="s">
        <v>830</v>
      </c>
      <c r="C96" t="s">
        <v>698</v>
      </c>
      <c r="D96" t="s">
        <v>417</v>
      </c>
    </row>
    <row r="97" spans="1:4">
      <c r="A97" t="s">
        <v>831</v>
      </c>
      <c r="B97" t="s">
        <v>832</v>
      </c>
      <c r="C97" t="s">
        <v>782</v>
      </c>
      <c r="D97" t="s">
        <v>390</v>
      </c>
    </row>
    <row r="98" spans="1:4">
      <c r="A98" t="s">
        <v>833</v>
      </c>
      <c r="B98" t="s">
        <v>834</v>
      </c>
      <c r="C98" t="s">
        <v>648</v>
      </c>
      <c r="D98" t="s">
        <v>144</v>
      </c>
    </row>
    <row r="99" spans="1:4">
      <c r="A99" t="s">
        <v>52</v>
      </c>
      <c r="B99" t="s">
        <v>835</v>
      </c>
      <c r="C99" t="s">
        <v>836</v>
      </c>
      <c r="D99" t="s">
        <v>51</v>
      </c>
    </row>
    <row r="100" spans="1:4">
      <c r="A100" t="s">
        <v>121</v>
      </c>
      <c r="B100" t="s">
        <v>837</v>
      </c>
      <c r="C100" t="s">
        <v>792</v>
      </c>
      <c r="D100" t="s">
        <v>137</v>
      </c>
    </row>
    <row r="101" spans="1:4">
      <c r="A101" t="s">
        <v>838</v>
      </c>
      <c r="B101" t="s">
        <v>839</v>
      </c>
      <c r="C101" t="s">
        <v>688</v>
      </c>
      <c r="D101" t="s">
        <v>570</v>
      </c>
    </row>
    <row r="102" spans="1:4">
      <c r="A102" t="s">
        <v>838</v>
      </c>
      <c r="B102" t="s">
        <v>839</v>
      </c>
      <c r="C102" t="s">
        <v>688</v>
      </c>
      <c r="D102" t="s">
        <v>840</v>
      </c>
    </row>
    <row r="103" spans="1:4">
      <c r="A103" t="s">
        <v>841</v>
      </c>
      <c r="B103" t="s">
        <v>842</v>
      </c>
      <c r="C103" t="s">
        <v>739</v>
      </c>
      <c r="D103" t="s">
        <v>40</v>
      </c>
    </row>
    <row r="104" spans="1:4">
      <c r="A104" t="s">
        <v>313</v>
      </c>
      <c r="B104" t="s">
        <v>843</v>
      </c>
      <c r="C104" t="s">
        <v>788</v>
      </c>
      <c r="D104" t="s">
        <v>314</v>
      </c>
    </row>
    <row r="105" spans="1:4">
      <c r="A105" t="s">
        <v>615</v>
      </c>
      <c r="B105" t="s">
        <v>844</v>
      </c>
      <c r="C105" t="s">
        <v>845</v>
      </c>
      <c r="D105" t="s">
        <v>634</v>
      </c>
    </row>
    <row r="106" spans="1:4">
      <c r="A106" t="s">
        <v>115</v>
      </c>
      <c r="B106" t="s">
        <v>846</v>
      </c>
      <c r="C106" t="s">
        <v>847</v>
      </c>
      <c r="D106" t="s">
        <v>133</v>
      </c>
    </row>
    <row r="107" spans="1:4">
      <c r="A107" t="s">
        <v>848</v>
      </c>
      <c r="B107" t="s">
        <v>849</v>
      </c>
      <c r="C107" t="s">
        <v>850</v>
      </c>
      <c r="D107" t="s">
        <v>57</v>
      </c>
    </row>
    <row r="108" spans="1:4">
      <c r="A108" t="s">
        <v>415</v>
      </c>
      <c r="B108" t="s">
        <v>851</v>
      </c>
      <c r="C108" t="s">
        <v>852</v>
      </c>
      <c r="D108" t="s">
        <v>414</v>
      </c>
    </row>
    <row r="109" spans="1:4">
      <c r="A109" t="s">
        <v>403</v>
      </c>
      <c r="B109" t="s">
        <v>853</v>
      </c>
      <c r="C109" t="s">
        <v>854</v>
      </c>
      <c r="D109" t="s">
        <v>402</v>
      </c>
    </row>
    <row r="110" spans="1:4">
      <c r="A110" t="s">
        <v>855</v>
      </c>
      <c r="B110" t="s">
        <v>856</v>
      </c>
      <c r="C110" t="s">
        <v>857</v>
      </c>
      <c r="D110" t="s">
        <v>405</v>
      </c>
    </row>
    <row r="111" spans="1:4">
      <c r="A111" t="s">
        <v>616</v>
      </c>
      <c r="B111" t="s">
        <v>858</v>
      </c>
      <c r="C111" t="s">
        <v>645</v>
      </c>
      <c r="D111" t="s">
        <v>635</v>
      </c>
    </row>
    <row r="112" spans="1:4">
      <c r="A112" t="s">
        <v>617</v>
      </c>
      <c r="B112" t="s">
        <v>859</v>
      </c>
      <c r="C112" t="s">
        <v>686</v>
      </c>
      <c r="D112" t="s">
        <v>636</v>
      </c>
    </row>
    <row r="113" spans="1:4">
      <c r="A113" t="s">
        <v>618</v>
      </c>
      <c r="B113" t="s">
        <v>860</v>
      </c>
      <c r="C113" t="s">
        <v>861</v>
      </c>
      <c r="D113" t="s">
        <v>637</v>
      </c>
    </row>
    <row r="114" spans="1:4">
      <c r="A114" t="s">
        <v>409</v>
      </c>
      <c r="B114" t="s">
        <v>862</v>
      </c>
      <c r="C114" t="s">
        <v>683</v>
      </c>
      <c r="D114" t="s">
        <v>408</v>
      </c>
    </row>
    <row r="115" spans="1:4">
      <c r="A115" t="s">
        <v>619</v>
      </c>
      <c r="B115" t="s">
        <v>863</v>
      </c>
      <c r="C115" t="s">
        <v>864</v>
      </c>
      <c r="D115" t="s">
        <v>638</v>
      </c>
    </row>
    <row r="116" spans="1:4">
      <c r="A116" t="s">
        <v>478</v>
      </c>
      <c r="B116" t="s">
        <v>865</v>
      </c>
      <c r="C116" t="s">
        <v>866</v>
      </c>
      <c r="D116" t="s">
        <v>477</v>
      </c>
    </row>
    <row r="117" spans="1:4">
      <c r="A117" t="s">
        <v>867</v>
      </c>
      <c r="B117" t="s">
        <v>868</v>
      </c>
      <c r="C117" t="s">
        <v>869</v>
      </c>
      <c r="D117" t="s">
        <v>127</v>
      </c>
    </row>
    <row r="118" spans="1:4">
      <c r="A118" t="s">
        <v>505</v>
      </c>
      <c r="B118" t="s">
        <v>870</v>
      </c>
      <c r="C118" t="s">
        <v>648</v>
      </c>
      <c r="D118" t="s">
        <v>504</v>
      </c>
    </row>
    <row r="119" spans="1:4">
      <c r="A119" t="s">
        <v>511</v>
      </c>
      <c r="B119" t="s">
        <v>871</v>
      </c>
      <c r="C119" t="s">
        <v>648</v>
      </c>
      <c r="D119" t="s">
        <v>510</v>
      </c>
    </row>
    <row r="120" spans="1:4">
      <c r="A120" t="s">
        <v>541</v>
      </c>
      <c r="B120" t="s">
        <v>872</v>
      </c>
      <c r="C120" t="s">
        <v>873</v>
      </c>
      <c r="D120" t="s">
        <v>540</v>
      </c>
    </row>
    <row r="121" spans="1:4">
      <c r="A121" t="s">
        <v>330</v>
      </c>
      <c r="B121" t="s">
        <v>874</v>
      </c>
      <c r="C121" t="s">
        <v>797</v>
      </c>
      <c r="D121" t="s">
        <v>329</v>
      </c>
    </row>
    <row r="122" spans="1:4">
      <c r="A122" t="s">
        <v>70</v>
      </c>
      <c r="B122" t="s">
        <v>875</v>
      </c>
      <c r="C122" t="s">
        <v>739</v>
      </c>
      <c r="D122" t="s">
        <v>69</v>
      </c>
    </row>
    <row r="123" spans="1:4">
      <c r="A123" t="s">
        <v>70</v>
      </c>
      <c r="B123" t="s">
        <v>875</v>
      </c>
      <c r="C123" t="s">
        <v>739</v>
      </c>
      <c r="D123" t="s">
        <v>876</v>
      </c>
    </row>
    <row r="124" spans="1:4">
      <c r="A124" t="s">
        <v>276</v>
      </c>
      <c r="B124" t="s">
        <v>877</v>
      </c>
      <c r="C124" t="s">
        <v>878</v>
      </c>
      <c r="D124" t="s">
        <v>275</v>
      </c>
    </row>
    <row r="125" spans="1:4">
      <c r="A125" t="s">
        <v>35</v>
      </c>
      <c r="B125" t="s">
        <v>879</v>
      </c>
      <c r="C125" t="s">
        <v>880</v>
      </c>
      <c r="D125" t="s">
        <v>34</v>
      </c>
    </row>
    <row r="126" spans="1:4">
      <c r="A126" t="s">
        <v>342</v>
      </c>
      <c r="B126" t="s">
        <v>881</v>
      </c>
      <c r="C126" t="s">
        <v>882</v>
      </c>
      <c r="D126" t="s">
        <v>341</v>
      </c>
    </row>
    <row r="127" spans="1:4">
      <c r="A127" t="s">
        <v>373</v>
      </c>
      <c r="B127" t="s">
        <v>883</v>
      </c>
      <c r="C127" t="s">
        <v>705</v>
      </c>
      <c r="D127" t="s">
        <v>372</v>
      </c>
    </row>
    <row r="128" spans="1:4">
      <c r="A128" t="s">
        <v>884</v>
      </c>
      <c r="B128" t="s">
        <v>885</v>
      </c>
      <c r="C128" t="s">
        <v>886</v>
      </c>
      <c r="D128" t="s">
        <v>138</v>
      </c>
    </row>
    <row r="129" spans="1:4">
      <c r="A129" t="s">
        <v>887</v>
      </c>
      <c r="B129" t="s">
        <v>888</v>
      </c>
      <c r="C129" t="s">
        <v>801</v>
      </c>
    </row>
    <row r="130" spans="1:4">
      <c r="A130" t="s">
        <v>889</v>
      </c>
      <c r="B130" t="s">
        <v>890</v>
      </c>
      <c r="C130" t="s">
        <v>683</v>
      </c>
      <c r="D130" t="s">
        <v>399</v>
      </c>
    </row>
    <row r="131" spans="1:4">
      <c r="A131" t="s">
        <v>101</v>
      </c>
      <c r="B131" t="s">
        <v>891</v>
      </c>
      <c r="C131" t="s">
        <v>892</v>
      </c>
      <c r="D131" t="s">
        <v>100</v>
      </c>
    </row>
    <row r="132" spans="1:4">
      <c r="A132" t="s">
        <v>893</v>
      </c>
      <c r="B132" t="s">
        <v>894</v>
      </c>
      <c r="C132" t="s">
        <v>895</v>
      </c>
      <c r="D132" t="s">
        <v>426</v>
      </c>
    </row>
    <row r="133" spans="1:4">
      <c r="A133" t="s">
        <v>620</v>
      </c>
      <c r="B133" t="s">
        <v>896</v>
      </c>
      <c r="C133" t="s">
        <v>720</v>
      </c>
      <c r="D133" t="s">
        <v>639</v>
      </c>
    </row>
    <row r="134" spans="1:4">
      <c r="A134" t="s">
        <v>327</v>
      </c>
      <c r="B134" t="s">
        <v>897</v>
      </c>
      <c r="C134" t="s">
        <v>705</v>
      </c>
      <c r="D134" t="s">
        <v>326</v>
      </c>
    </row>
    <row r="135" spans="1:4">
      <c r="A135" t="s">
        <v>553</v>
      </c>
      <c r="B135" t="s">
        <v>898</v>
      </c>
      <c r="C135" t="s">
        <v>899</v>
      </c>
      <c r="D135" t="s">
        <v>552</v>
      </c>
    </row>
    <row r="136" spans="1:4">
      <c r="A136" t="s">
        <v>457</v>
      </c>
      <c r="B136" t="s">
        <v>900</v>
      </c>
      <c r="C136" t="s">
        <v>754</v>
      </c>
      <c r="D136" t="s">
        <v>456</v>
      </c>
    </row>
    <row r="137" spans="1:4">
      <c r="A137" t="s">
        <v>239</v>
      </c>
      <c r="B137" t="s">
        <v>901</v>
      </c>
      <c r="C137" t="s">
        <v>880</v>
      </c>
      <c r="D137" t="s">
        <v>238</v>
      </c>
    </row>
    <row r="138" spans="1:4">
      <c r="A138" t="s">
        <v>902</v>
      </c>
      <c r="B138" t="s">
        <v>903</v>
      </c>
      <c r="C138" t="s">
        <v>904</v>
      </c>
      <c r="D138" t="s">
        <v>244</v>
      </c>
    </row>
    <row r="139" spans="1:4">
      <c r="A139" t="s">
        <v>454</v>
      </c>
      <c r="B139" t="s">
        <v>905</v>
      </c>
      <c r="C139" t="s">
        <v>681</v>
      </c>
      <c r="D139" t="s">
        <v>453</v>
      </c>
    </row>
    <row r="140" spans="1:4">
      <c r="A140" t="s">
        <v>906</v>
      </c>
      <c r="B140" t="s">
        <v>907</v>
      </c>
      <c r="C140" t="s">
        <v>692</v>
      </c>
      <c r="D140" t="s">
        <v>908</v>
      </c>
    </row>
    <row r="141" spans="1:4">
      <c r="A141" t="s">
        <v>906</v>
      </c>
      <c r="B141" t="s">
        <v>907</v>
      </c>
      <c r="C141" t="s">
        <v>692</v>
      </c>
      <c r="D141" t="s">
        <v>177</v>
      </c>
    </row>
    <row r="142" spans="1:4">
      <c r="A142" t="s">
        <v>909</v>
      </c>
      <c r="B142" t="s">
        <v>910</v>
      </c>
      <c r="C142" t="s">
        <v>911</v>
      </c>
      <c r="D142" t="s">
        <v>579</v>
      </c>
    </row>
    <row r="143" spans="1:4">
      <c r="A143" t="s">
        <v>357</v>
      </c>
      <c r="B143" t="s">
        <v>912</v>
      </c>
      <c r="C143" t="s">
        <v>648</v>
      </c>
      <c r="D143" t="s">
        <v>356</v>
      </c>
    </row>
    <row r="144" spans="1:4">
      <c r="A144" t="s">
        <v>394</v>
      </c>
      <c r="B144" t="s">
        <v>913</v>
      </c>
      <c r="C144" t="s">
        <v>914</v>
      </c>
      <c r="D144" t="s">
        <v>393</v>
      </c>
    </row>
    <row r="145" spans="1:4">
      <c r="A145" t="s">
        <v>915</v>
      </c>
      <c r="B145" t="s">
        <v>916</v>
      </c>
      <c r="C145" t="s">
        <v>917</v>
      </c>
      <c r="D145" t="s">
        <v>549</v>
      </c>
    </row>
    <row r="146" spans="1:4">
      <c r="A146" t="s">
        <v>517</v>
      </c>
      <c r="B146" t="s">
        <v>918</v>
      </c>
      <c r="C146" t="s">
        <v>698</v>
      </c>
      <c r="D146" t="s">
        <v>516</v>
      </c>
    </row>
    <row r="147" spans="1:4">
      <c r="A147" t="s">
        <v>123</v>
      </c>
      <c r="B147" t="s">
        <v>919</v>
      </c>
      <c r="C147" t="s">
        <v>764</v>
      </c>
      <c r="D147" t="s">
        <v>136</v>
      </c>
    </row>
    <row r="148" spans="1:4">
      <c r="A148" t="s">
        <v>920</v>
      </c>
      <c r="B148" t="s">
        <v>921</v>
      </c>
      <c r="C148" t="s">
        <v>692</v>
      </c>
      <c r="D148" t="s">
        <v>568</v>
      </c>
    </row>
    <row r="149" spans="1:4">
      <c r="A149" t="s">
        <v>530</v>
      </c>
      <c r="B149" t="s">
        <v>922</v>
      </c>
      <c r="C149" t="s">
        <v>739</v>
      </c>
      <c r="D149" t="s">
        <v>576</v>
      </c>
    </row>
    <row r="150" spans="1:4">
      <c r="A150" t="s">
        <v>466</v>
      </c>
      <c r="B150" t="s">
        <v>923</v>
      </c>
      <c r="C150" t="s">
        <v>686</v>
      </c>
      <c r="D150" t="s">
        <v>465</v>
      </c>
    </row>
    <row r="151" spans="1:4">
      <c r="A151" t="s">
        <v>311</v>
      </c>
      <c r="B151" t="s">
        <v>924</v>
      </c>
      <c r="C151" t="s">
        <v>925</v>
      </c>
      <c r="D151" t="s">
        <v>563</v>
      </c>
    </row>
    <row r="152" spans="1:4">
      <c r="A152" t="s">
        <v>926</v>
      </c>
      <c r="B152" t="s">
        <v>859</v>
      </c>
      <c r="C152" t="s">
        <v>895</v>
      </c>
      <c r="D152" t="s">
        <v>387</v>
      </c>
    </row>
    <row r="153" spans="1:4">
      <c r="A153" t="s">
        <v>927</v>
      </c>
      <c r="B153" t="s">
        <v>928</v>
      </c>
      <c r="C153" t="s">
        <v>880</v>
      </c>
      <c r="D153" t="s">
        <v>501</v>
      </c>
    </row>
    <row r="154" spans="1:4">
      <c r="A154" t="s">
        <v>929</v>
      </c>
      <c r="B154" t="s">
        <v>930</v>
      </c>
      <c r="C154" t="s">
        <v>931</v>
      </c>
      <c r="D154" t="s">
        <v>480</v>
      </c>
    </row>
    <row r="155" spans="1:4">
      <c r="A155" t="s">
        <v>282</v>
      </c>
      <c r="B155" t="s">
        <v>932</v>
      </c>
      <c r="C155" t="s">
        <v>933</v>
      </c>
      <c r="D155" t="s">
        <v>281</v>
      </c>
    </row>
    <row r="156" spans="1:4">
      <c r="A156" t="s">
        <v>934</v>
      </c>
      <c r="B156" t="s">
        <v>935</v>
      </c>
      <c r="C156" t="s">
        <v>739</v>
      </c>
      <c r="D156" t="s">
        <v>936</v>
      </c>
    </row>
    <row r="157" spans="1:4">
      <c r="A157" t="s">
        <v>376</v>
      </c>
      <c r="B157" t="s">
        <v>937</v>
      </c>
      <c r="C157" t="s">
        <v>739</v>
      </c>
      <c r="D157" t="s">
        <v>375</v>
      </c>
    </row>
    <row r="158" spans="1:4">
      <c r="A158" t="s">
        <v>291</v>
      </c>
      <c r="B158" t="s">
        <v>938</v>
      </c>
      <c r="C158" t="s">
        <v>939</v>
      </c>
      <c r="D158" t="s">
        <v>290</v>
      </c>
    </row>
    <row r="159" spans="1:4">
      <c r="A159" t="s">
        <v>562</v>
      </c>
      <c r="B159" t="s">
        <v>940</v>
      </c>
      <c r="C159" t="s">
        <v>692</v>
      </c>
      <c r="D159" t="s">
        <v>561</v>
      </c>
    </row>
    <row r="160" spans="1:4">
      <c r="A160" t="s">
        <v>339</v>
      </c>
      <c r="B160" t="s">
        <v>941</v>
      </c>
      <c r="C160" t="s">
        <v>942</v>
      </c>
      <c r="D160" t="s">
        <v>338</v>
      </c>
    </row>
    <row r="161" spans="1:4">
      <c r="A161" t="s">
        <v>111</v>
      </c>
      <c r="B161" t="s">
        <v>943</v>
      </c>
      <c r="C161" t="s">
        <v>944</v>
      </c>
      <c r="D161" t="s">
        <v>142</v>
      </c>
    </row>
    <row r="162" spans="1:4">
      <c r="A162" t="s">
        <v>382</v>
      </c>
      <c r="B162" t="s">
        <v>945</v>
      </c>
      <c r="C162" t="s">
        <v>946</v>
      </c>
      <c r="D162" t="s">
        <v>381</v>
      </c>
    </row>
    <row r="163" spans="1:4">
      <c r="A163" t="s">
        <v>621</v>
      </c>
      <c r="B163" t="s">
        <v>947</v>
      </c>
      <c r="C163" t="s">
        <v>702</v>
      </c>
      <c r="D163" t="s">
        <v>640</v>
      </c>
    </row>
    <row r="164" spans="1:4">
      <c r="A164" t="s">
        <v>622</v>
      </c>
      <c r="B164" t="s">
        <v>948</v>
      </c>
      <c r="C164" t="s">
        <v>784</v>
      </c>
      <c r="D164" t="s">
        <v>641</v>
      </c>
    </row>
    <row r="165" spans="1:4">
      <c r="A165" t="s">
        <v>279</v>
      </c>
      <c r="B165" t="s">
        <v>949</v>
      </c>
      <c r="C165" t="s">
        <v>811</v>
      </c>
      <c r="D165" t="s">
        <v>278</v>
      </c>
    </row>
    <row r="166" spans="1:4">
      <c r="A166" t="s">
        <v>32</v>
      </c>
      <c r="B166" t="s">
        <v>950</v>
      </c>
      <c r="C166" t="s">
        <v>746</v>
      </c>
      <c r="D16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Groundwater Discharge Permi</vt:lpstr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Hudson -MDE-</cp:lastModifiedBy>
  <dcterms:created xsi:type="dcterms:W3CDTF">2026-01-14T19:06:41Z</dcterms:created>
  <dcterms:modified xsi:type="dcterms:W3CDTF">2026-01-14T20:40:21Z</dcterms:modified>
</cp:coreProperties>
</file>